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esktop\EXCEL PROJECTS\Supermarket Sales Analysis\Final Data\"/>
    </mc:Choice>
  </mc:AlternateContent>
  <xr:revisionPtr revIDLastSave="0" documentId="8_{28324AC6-1765-4A1E-A6F9-C6A61716F7BA}" xr6:coauthVersionLast="47" xr6:coauthVersionMax="47" xr10:uidLastSave="{00000000-0000-0000-0000-000000000000}"/>
  <bookViews>
    <workbookView xWindow="-110" yWindow="-110" windowWidth="19420" windowHeight="10300" activeTab="8" xr2:uid="{13F4AE79-2971-4DD1-83EB-84B9C5A6F743}"/>
  </bookViews>
  <sheets>
    <sheet name="Sales Dashboard" sheetId="12" r:id="rId1"/>
    <sheet name="Sales Analysis" sheetId="4" r:id="rId2"/>
    <sheet name="Monthly Sales" sheetId="5" r:id="rId3"/>
    <sheet name="Customer Sales" sheetId="6" r:id="rId4"/>
    <sheet name="Order Sales" sheetId="11" r:id="rId5"/>
    <sheet name="Quantity Sales" sheetId="8" r:id="rId6"/>
    <sheet name="Shipping Perfomance" sheetId="9" r:id="rId7"/>
    <sheet name="Data Inspection" sheetId="3" r:id="rId8"/>
    <sheet name="SuperMarket Sales" sheetId="2" r:id="rId9"/>
  </sheets>
  <definedNames>
    <definedName name="_xlnm._FilterDatabase" localSheetId="8" hidden="1">'SuperMarket Sales'!$A$1:$I$71</definedName>
  </definedNam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2" l="1"/>
  <c r="H4" i="12"/>
  <c r="D4" i="12"/>
  <c r="A4" i="12"/>
  <c r="B19" i="4"/>
  <c r="B18" i="4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B17" i="4"/>
  <c r="B14" i="4"/>
  <c r="B13" i="4"/>
  <c r="B12" i="4"/>
  <c r="B11" i="4"/>
  <c r="J2" i="2"/>
  <c r="J3" i="2"/>
  <c r="B16" i="4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B9" i="4"/>
  <c r="B3" i="4"/>
  <c r="B4" i="4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B15" i="4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2" i="2"/>
  <c r="H2" i="2" s="1"/>
  <c r="I7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2" i="2"/>
  <c r="B10" i="4" s="1"/>
  <c r="B8" i="4" l="1"/>
  <c r="B7" i="4"/>
  <c r="B2" i="4"/>
  <c r="B5" i="4"/>
  <c r="B6" i="4"/>
</calcChain>
</file>

<file path=xl/sharedStrings.xml><?xml version="1.0" encoding="utf-8"?>
<sst xmlns="http://schemas.openxmlformats.org/spreadsheetml/2006/main" count="272" uniqueCount="144">
  <si>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</si>
  <si>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</si>
  <si>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</si>
  <si>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</si>
  <si>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</si>
  <si>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</si>
  <si>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</si>
  <si>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</si>
  <si>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</si>
  <si>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John Smith</t>
  </si>
  <si>
    <t>Jane Doe</t>
  </si>
  <si>
    <t>Michael Johnson</t>
  </si>
  <si>
    <t>Emily Brown</t>
  </si>
  <si>
    <t>David Wilson</t>
  </si>
  <si>
    <t>Lisa Taylor</t>
  </si>
  <si>
    <t>Daniel Martinez</t>
  </si>
  <si>
    <t>Sarah Anderson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</si>
  <si>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</si>
  <si>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</si>
  <si>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</si>
  <si>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</si>
  <si>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</si>
  <si>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</si>
  <si>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</si>
  <si>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</si>
  <si>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</si>
  <si>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</si>
  <si>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</si>
  <si>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</si>
  <si>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</si>
  <si>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</si>
  <si>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</si>
  <si>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</si>
  <si>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</si>
  <si>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</si>
  <si>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</si>
  <si>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</si>
  <si>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</si>
  <si>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</si>
  <si>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</si>
  <si>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</si>
  <si>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</si>
  <si>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</si>
  <si>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</si>
  <si>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</si>
  <si>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</si>
  <si>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</si>
  <si>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</si>
  <si>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</si>
  <si>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</si>
  <si>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</si>
  <si>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</si>
  <si>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Sarah Gonzalez</t>
  </si>
  <si>
    <t>Matthew Smith</t>
  </si>
  <si>
    <t>Emily Johnson</t>
  </si>
  <si>
    <t>Daniel Brown</t>
  </si>
  <si>
    <t>Jennifer Hernandez</t>
  </si>
  <si>
    <t>Michael Davis</t>
  </si>
  <si>
    <t>Jessica Smith</t>
  </si>
  <si>
    <t>David Martinez</t>
  </si>
  <si>
    <t>INSPECTION TASK</t>
  </si>
  <si>
    <t>WHAT WAS CHECKED</t>
  </si>
  <si>
    <t>RESULT</t>
  </si>
  <si>
    <t>STATUS</t>
  </si>
  <si>
    <t>ACTION</t>
  </si>
  <si>
    <t>Dataset Size</t>
  </si>
  <si>
    <t>Number of rows and columns</t>
  </si>
  <si>
    <t>PASS</t>
  </si>
  <si>
    <t>None</t>
  </si>
  <si>
    <t>Header row</t>
  </si>
  <si>
    <t>Dataset headers</t>
  </si>
  <si>
    <t>8 rows were identified</t>
  </si>
  <si>
    <t>Data Types</t>
  </si>
  <si>
    <t>Column data types</t>
  </si>
  <si>
    <t>Some numeric values were stored as text</t>
  </si>
  <si>
    <t>ISSUE FOUND</t>
  </si>
  <si>
    <t>Converted text values to numbers</t>
  </si>
  <si>
    <t>Missing Values</t>
  </si>
  <si>
    <t>Blank cells</t>
  </si>
  <si>
    <t>None Found</t>
  </si>
  <si>
    <t>Duplicate Orders</t>
  </si>
  <si>
    <t>Date Validity</t>
  </si>
  <si>
    <t>Order Date &amp; Ship Date</t>
  </si>
  <si>
    <t>All Dates appear valid</t>
  </si>
  <si>
    <t>Shipping Sequence</t>
  </si>
  <si>
    <t xml:space="preserve"> Ship Date &gt;= Order Date</t>
  </si>
  <si>
    <t>No Invalid sequences found</t>
  </si>
  <si>
    <t>Retail Price</t>
  </si>
  <si>
    <t>Zero/Negative/Unusual values</t>
  </si>
  <si>
    <t>No Invalid values found</t>
  </si>
  <si>
    <t>Total</t>
  </si>
  <si>
    <t>Tax Calculation</t>
  </si>
  <si>
    <t>Recorded Tax vs Calculated Tax</t>
  </si>
  <si>
    <t>Tax values match the 10% rate</t>
  </si>
  <si>
    <t>Total Calculation</t>
  </si>
  <si>
    <t>Recorded Total vs Calculated Total</t>
  </si>
  <si>
    <t>70 rows , 8 columns</t>
  </si>
  <si>
    <t>Total values match the Calculated Total</t>
  </si>
  <si>
    <t>Shipping Days</t>
  </si>
  <si>
    <t>Shipping  Days</t>
  </si>
  <si>
    <t>Ship Date -Order Date</t>
  </si>
  <si>
    <t>Shipping duartions calculated sucessfully</t>
  </si>
  <si>
    <t>Customer Names</t>
  </si>
  <si>
    <t>No issues found</t>
  </si>
  <si>
    <t>Order Numbers</t>
  </si>
  <si>
    <t>Spelling,Capitalization and extra spaces</t>
  </si>
  <si>
    <t>Format,Data Type and Sequence</t>
  </si>
  <si>
    <t>Outliers</t>
  </si>
  <si>
    <t>Retail Price, Order quantity, Tax ,Total and Shipping days</t>
  </si>
  <si>
    <t>Final Data Quality</t>
  </si>
  <si>
    <t>Columns, range  and dataset structure</t>
  </si>
  <si>
    <t>Dataset structure appears suitable for cleaning</t>
  </si>
  <si>
    <t>DATA INSPECTION : INSPECTION OF RAW DATA</t>
  </si>
  <si>
    <t>VALUE</t>
  </si>
  <si>
    <t>Total Revenue</t>
  </si>
  <si>
    <t>Total Orders</t>
  </si>
  <si>
    <t>Total Quantity Sold</t>
  </si>
  <si>
    <t>Average Order Value</t>
  </si>
  <si>
    <t>Highest Sale</t>
  </si>
  <si>
    <t>Lowest Sale</t>
  </si>
  <si>
    <t>Sales from Orders above or equal to 5 units</t>
  </si>
  <si>
    <t>Count Orders above or equal to 5 units</t>
  </si>
  <si>
    <t>Order Size Category</t>
  </si>
  <si>
    <t>SALES METRICS</t>
  </si>
  <si>
    <t>Average Shipping Days</t>
  </si>
  <si>
    <t>Revenue from Large Orders</t>
  </si>
  <si>
    <t>Revenue from Small Orders</t>
  </si>
  <si>
    <t>Number of Large Orders</t>
  </si>
  <si>
    <t>Number of Small Orders</t>
  </si>
  <si>
    <t>Revenue from Orders above or equal to 5 units with a Total above $100</t>
  </si>
  <si>
    <t>Percentage of Large Orders</t>
  </si>
  <si>
    <t>Average Order Quantity</t>
  </si>
  <si>
    <t>Order Month</t>
  </si>
  <si>
    <t>Total Sales for January</t>
  </si>
  <si>
    <t>Total Sales for February</t>
  </si>
  <si>
    <t>Row Labels</t>
  </si>
  <si>
    <t>January</t>
  </si>
  <si>
    <t>February</t>
  </si>
  <si>
    <t>Grand Total</t>
  </si>
  <si>
    <t>Sum of Total (USD)</t>
  </si>
  <si>
    <t>Large Order</t>
  </si>
  <si>
    <t>Small Order</t>
  </si>
  <si>
    <t>Sum of Order No</t>
  </si>
  <si>
    <t>SUPERMARKET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</si>
</sst>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1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164" fontId="3" fillId="0" borderId="4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/>
    <xf numFmtId="3" fontId="0" fillId="0" borderId="0" xfId="0" applyNumberFormat="1"/>
    <xf numFmtId="164" fontId="6" fillId="4" borderId="6" xfId="0" applyNumberFormat="1" applyFont="1" applyFill="1" applyBorder="1"/>
    <xf numFmtId="0" fontId="7" fillId="4" borderId="6" xfId="0" applyFont="1" applyFill="1" applyBorder="1"/>
    <xf numFmtId="1" fontId="6" fillId="4" borderId="6" xfId="0" applyNumberFormat="1" applyFont="1" applyFill="1" applyBorder="1"/>
    <xf numFmtId="0" fontId="8" fillId="3" borderId="0" xfId="0" applyFont="1" applyFill="1" applyAlignment="1">
      <alignment horizontal="center"/>
    </xf>
    <xf numFmtId="49" fontId="9" fillId="5" borderId="0" xfId="0" applyNumberFormat="1" applyFont="1" applyFill="1"/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[supermarket_Sales_Analysis.xlsx]Monthly Sales!MonthlySalesPivot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'Monthly Sales'!$B$4:$B$6</c:f>
              <c:numCache>
                <c:formatCode>"$"#,##0.00</c:formatCode>
                <c:ptCount val="2"/>
                <c:pt idx="0">
                  <c:v>9601.3719999999921</c:v>
                </c:pt>
                <c:pt idx="1">
                  <c:v>1253.78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8-45CE-9361-6B096AF50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915391"/>
        <c:axId val="286119679"/>
      </c:barChart>
      <c:catAx>
        <c:axId val="34391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19679"/>
        <c:crosses val="autoZero"/>
        <c:auto val="1"/>
        <c:lblAlgn val="ctr"/>
        <c:lblOffset val="100"/>
        <c:noMultiLvlLbl val="0"/>
      </c:catAx>
      <c:valAx>
        <c:axId val="2861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[supermarket_Sales_Analysis.xlsx]Customer Sales!CustomerSalesPivot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Sales'!$A$4:$A$55</c:f>
              <c:strCache>
                <c:ptCount val="51"/>
                <c:pt idx="0">
                  <c:v>Jane Doe</c:v>
                </c:pt>
                <c:pt idx="1">
                  <c:v>David Brown</c:v>
                </c:pt>
                <c:pt idx="2">
                  <c:v>Matthew Wilson</c:v>
                </c:pt>
                <c:pt idx="3">
                  <c:v>Christopher Thomas</c:v>
                </c:pt>
                <c:pt idx="4">
                  <c:v>John Smith</c:v>
                </c:pt>
                <c:pt idx="5">
                  <c:v>Emily Rodriguez</c:v>
                </c:pt>
                <c:pt idx="6">
                  <c:v>Laura Brown</c:v>
                </c:pt>
                <c:pt idx="7">
                  <c:v>Daniel Martinez</c:v>
                </c:pt>
                <c:pt idx="8">
                  <c:v>Matthew Johnson</c:v>
                </c:pt>
                <c:pt idx="9">
                  <c:v>Jessica Johnson</c:v>
                </c:pt>
                <c:pt idx="10">
                  <c:v>Christopher Rodriguez</c:v>
                </c:pt>
                <c:pt idx="11">
                  <c:v>Jessica Gonzalez</c:v>
                </c:pt>
                <c:pt idx="12">
                  <c:v>Matthew Hernandez</c:v>
                </c:pt>
                <c:pt idx="13">
                  <c:v>Sarah Anderson</c:v>
                </c:pt>
                <c:pt idx="14">
                  <c:v>James Johnson</c:v>
                </c:pt>
                <c:pt idx="15">
                  <c:v>Sarah Smith</c:v>
                </c:pt>
                <c:pt idx="16">
                  <c:v>Jessica Smith</c:v>
                </c:pt>
                <c:pt idx="17">
                  <c:v>Jennifer Smith</c:v>
                </c:pt>
                <c:pt idx="18">
                  <c:v>William Hernandez</c:v>
                </c:pt>
                <c:pt idx="19">
                  <c:v>Daniel Wilson</c:v>
                </c:pt>
                <c:pt idx="20">
                  <c:v>Amy Hernandez</c:v>
                </c:pt>
                <c:pt idx="21">
                  <c:v>Richard Perez</c:v>
                </c:pt>
                <c:pt idx="22">
                  <c:v>Michael Smith</c:v>
                </c:pt>
                <c:pt idx="23">
                  <c:v>Amanda Martinez</c:v>
                </c:pt>
                <c:pt idx="24">
                  <c:v>Sarah Garcia</c:v>
                </c:pt>
                <c:pt idx="25">
                  <c:v>Lisa Taylor</c:v>
                </c:pt>
                <c:pt idx="26">
                  <c:v>Melissa Lopez</c:v>
                </c:pt>
                <c:pt idx="27">
                  <c:v>Michael Garcia</c:v>
                </c:pt>
                <c:pt idx="28">
                  <c:v>David Martinez</c:v>
                </c:pt>
                <c:pt idx="29">
                  <c:v>Jennifer Martinez</c:v>
                </c:pt>
                <c:pt idx="30">
                  <c:v>Kimberly Garcia</c:v>
                </c:pt>
                <c:pt idx="31">
                  <c:v>Emily Davis</c:v>
                </c:pt>
                <c:pt idx="32">
                  <c:v>Daniel Davis</c:v>
                </c:pt>
                <c:pt idx="33">
                  <c:v>Michael Davis</c:v>
                </c:pt>
                <c:pt idx="34">
                  <c:v>Daniel Smith</c:v>
                </c:pt>
                <c:pt idx="35">
                  <c:v>Daniel Brown</c:v>
                </c:pt>
                <c:pt idx="36">
                  <c:v>Sarah Johnson</c:v>
                </c:pt>
                <c:pt idx="37">
                  <c:v>Matthew Smith</c:v>
                </c:pt>
                <c:pt idx="38">
                  <c:v>Jessica Martinez</c:v>
                </c:pt>
                <c:pt idx="39">
                  <c:v>Michael Martinez</c:v>
                </c:pt>
                <c:pt idx="40">
                  <c:v>Daniel Hernandez</c:v>
                </c:pt>
                <c:pt idx="41">
                  <c:v>Jennifer Hernandez</c:v>
                </c:pt>
                <c:pt idx="42">
                  <c:v>Matthew Garcia</c:v>
                </c:pt>
                <c:pt idx="43">
                  <c:v>Emily Johnson</c:v>
                </c:pt>
                <c:pt idx="44">
                  <c:v>Sarah Gonzalez</c:v>
                </c:pt>
                <c:pt idx="45">
                  <c:v>Emily Brown</c:v>
                </c:pt>
                <c:pt idx="46">
                  <c:v>David Rodriguez</c:v>
                </c:pt>
                <c:pt idx="47">
                  <c:v>Jessica Wilson</c:v>
                </c:pt>
                <c:pt idx="48">
                  <c:v>David Wilson</c:v>
                </c:pt>
                <c:pt idx="49">
                  <c:v>Michael Johnson</c:v>
                </c:pt>
                <c:pt idx="50">
                  <c:v>Jennifer Davis</c:v>
                </c:pt>
              </c:strCache>
            </c:strRef>
          </c:cat>
          <c:val>
            <c:numRef>
              <c:f>'Customer Sales'!$B$4:$B$55</c:f>
              <c:numCache>
                <c:formatCode>"$"#,##0.00</c:formatCode>
                <c:ptCount val="51"/>
                <c:pt idx="0">
                  <c:v>32.988999999999997</c:v>
                </c:pt>
                <c:pt idx="1">
                  <c:v>87.955999999999989</c:v>
                </c:pt>
                <c:pt idx="2">
                  <c:v>87.955999999999989</c:v>
                </c:pt>
                <c:pt idx="3">
                  <c:v>98.98899999999999</c:v>
                </c:pt>
                <c:pt idx="4">
                  <c:v>109.97800000000001</c:v>
                </c:pt>
                <c:pt idx="5">
                  <c:v>131.96699999999998</c:v>
                </c:pt>
                <c:pt idx="6">
                  <c:v>131.96699999999998</c:v>
                </c:pt>
                <c:pt idx="7">
                  <c:v>131.96699999999998</c:v>
                </c:pt>
                <c:pt idx="8">
                  <c:v>131.96699999999998</c:v>
                </c:pt>
                <c:pt idx="9">
                  <c:v>142.989</c:v>
                </c:pt>
                <c:pt idx="10">
                  <c:v>142.989</c:v>
                </c:pt>
                <c:pt idx="11">
                  <c:v>142.989</c:v>
                </c:pt>
                <c:pt idx="12">
                  <c:v>153.97799999999998</c:v>
                </c:pt>
                <c:pt idx="13">
                  <c:v>153.97799999999998</c:v>
                </c:pt>
                <c:pt idx="14">
                  <c:v>153.97799999999998</c:v>
                </c:pt>
                <c:pt idx="15">
                  <c:v>153.97799999999998</c:v>
                </c:pt>
                <c:pt idx="16">
                  <c:v>164.94499999999999</c:v>
                </c:pt>
                <c:pt idx="17">
                  <c:v>164.94499999999999</c:v>
                </c:pt>
                <c:pt idx="18">
                  <c:v>164.94499999999999</c:v>
                </c:pt>
                <c:pt idx="19">
                  <c:v>164.94499999999999</c:v>
                </c:pt>
                <c:pt idx="20">
                  <c:v>164.96699999999998</c:v>
                </c:pt>
                <c:pt idx="21">
                  <c:v>164.96699999999998</c:v>
                </c:pt>
                <c:pt idx="22">
                  <c:v>164.96699999999998</c:v>
                </c:pt>
                <c:pt idx="23">
                  <c:v>164.989</c:v>
                </c:pt>
                <c:pt idx="24">
                  <c:v>164.989</c:v>
                </c:pt>
                <c:pt idx="25">
                  <c:v>175.97799999999998</c:v>
                </c:pt>
                <c:pt idx="26">
                  <c:v>175.97799999999998</c:v>
                </c:pt>
                <c:pt idx="27">
                  <c:v>175.97799999999998</c:v>
                </c:pt>
                <c:pt idx="28">
                  <c:v>175.97799999999998</c:v>
                </c:pt>
                <c:pt idx="29">
                  <c:v>175.97799999999998</c:v>
                </c:pt>
                <c:pt idx="30">
                  <c:v>219.989</c:v>
                </c:pt>
                <c:pt idx="31">
                  <c:v>219.989</c:v>
                </c:pt>
                <c:pt idx="32">
                  <c:v>219.989</c:v>
                </c:pt>
                <c:pt idx="33">
                  <c:v>219.989</c:v>
                </c:pt>
                <c:pt idx="34">
                  <c:v>219.989</c:v>
                </c:pt>
                <c:pt idx="35">
                  <c:v>241.93399999999997</c:v>
                </c:pt>
                <c:pt idx="36">
                  <c:v>252.92299999999997</c:v>
                </c:pt>
                <c:pt idx="37">
                  <c:v>252.92299999999997</c:v>
                </c:pt>
                <c:pt idx="38">
                  <c:v>252.92299999999997</c:v>
                </c:pt>
                <c:pt idx="39">
                  <c:v>296.91199999999998</c:v>
                </c:pt>
                <c:pt idx="40">
                  <c:v>296.95600000000002</c:v>
                </c:pt>
                <c:pt idx="41">
                  <c:v>296.95600000000002</c:v>
                </c:pt>
                <c:pt idx="42">
                  <c:v>307.97800000000001</c:v>
                </c:pt>
                <c:pt idx="43">
                  <c:v>307.97800000000001</c:v>
                </c:pt>
                <c:pt idx="44">
                  <c:v>318.96699999999998</c:v>
                </c:pt>
                <c:pt idx="45">
                  <c:v>329.89</c:v>
                </c:pt>
                <c:pt idx="46">
                  <c:v>329.91199999999998</c:v>
                </c:pt>
                <c:pt idx="47">
                  <c:v>395.96699999999998</c:v>
                </c:pt>
                <c:pt idx="48">
                  <c:v>472.96699999999998</c:v>
                </c:pt>
                <c:pt idx="49">
                  <c:v>505.94499999999994</c:v>
                </c:pt>
                <c:pt idx="50">
                  <c:v>538.91199999999992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2-467C-8185-78E320AB5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3911679"/>
        <c:axId val="286127839"/>
      </c:barChart>
      <c:catAx>
        <c:axId val="34391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27839"/>
        <c:crosses val="autoZero"/>
        <c:auto val="1"/>
        <c:lblAlgn val="ctr"/>
        <c:lblOffset val="100"/>
        <c:noMultiLvlLbl val="0"/>
      </c:catAx>
      <c:valAx>
        <c:axId val="28612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1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[supermarket_Sales_Analysis.xlsx]Order Sales!RevenueByOrderSales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Order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Sales'!$A$2:$A$4</c:f>
              <c:strCache>
                <c:ptCount val="2"/>
                <c:pt idx="0">
                  <c:v>Large Order</c:v>
                </c:pt>
                <c:pt idx="1">
                  <c:v>Small Order</c:v>
                </c:pt>
              </c:strCache>
            </c:strRef>
          </c:cat>
          <c:val>
            <c:numRef>
              <c:f>'Order Sales'!$B$2:$B$4</c:f>
              <c:numCache>
                <c:formatCode>"$"#,##0.00</c:formatCode>
                <c:ptCount val="2"/>
                <c:pt idx="0">
                  <c:v>1154.6149999999998</c:v>
                </c:pt>
                <c:pt idx="1">
                  <c:v>9700.536999999993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C-4024-89F7-23096CE6B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456367"/>
        <c:axId val="409005407"/>
      </c:barChart>
      <c:catAx>
        <c:axId val="4204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05407"/>
        <c:crosses val="autoZero"/>
        <c:auto val="1"/>
        <c:lblAlgn val="ctr"/>
        <c:lblOffset val="100"/>
        <c:noMultiLvlLbl val="0"/>
      </c:catAx>
      <c:valAx>
        <c:axId val="40900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[supermarket_Sales_Analysis.xlsx]Quantity Sales!QuantitySalesPivot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Sales'!$A$4:$A$9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'Quantity Sales'!$B$4:$B$9</c:f>
              <c:numCache>
                <c:formatCode>"$"#,##0.00</c:formatCode>
                <c:ptCount val="5"/>
                <c:pt idx="0">
                  <c:v>3992.7360000000003</c:v>
                </c:pt>
                <c:pt idx="1">
                  <c:v>2595.6480000000001</c:v>
                </c:pt>
                <c:pt idx="2">
                  <c:v>2408.5050000000006</c:v>
                </c:pt>
                <c:pt idx="3">
                  <c:v>703.64800000000002</c:v>
                </c:pt>
                <c:pt idx="4">
                  <c:v>1154.6149999999998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F-4909-92B4-33302B7B5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484239"/>
        <c:axId val="2123751967"/>
      </c:barChart>
      <c:catAx>
        <c:axId val="33448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51967"/>
        <c:crosses val="autoZero"/>
        <c:auto val="1"/>
        <c:lblAlgn val="ctr"/>
        <c:lblOffset val="100"/>
        <c:noMultiLvlLbl val="0"/>
      </c:catAx>
      <c:valAx>
        <c:axId val="21237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8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[supermarket_Sales_Analysis.xlsx]Shipping Perfomance!ShippingPerformancePivot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Count by Shipping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Perfomance'!$A$4:$A$9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'Shipping Perfomance'!$B$4:$B$9</c:f>
              <c:numCache>
                <c:formatCode>General</c:formatCode>
                <c:ptCount val="5"/>
                <c:pt idx="0">
                  <c:v>16619</c:v>
                </c:pt>
                <c:pt idx="1">
                  <c:v>14536</c:v>
                </c:pt>
                <c:pt idx="2">
                  <c:v>13447</c:v>
                </c:pt>
                <c:pt idx="3">
                  <c:v>15621</c:v>
                </c:pt>
                <c:pt idx="4">
                  <c:v>12262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1-4044-85D1-4A51392F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439199"/>
        <c:axId val="409015487"/>
      </c:barChart>
      <c:catAx>
        <c:axId val="4204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15487"/>
        <c:crosses val="autoZero"/>
        <c:auto val="1"/>
        <c:lblAlgn val="ctr"/>
        <c:lblOffset val="100"/>
        <c:noMultiLvlLbl val="0"/>
      </c:catAx>
      <c:valAx>
        <c:axId val="4090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3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[supermarket_Sales_Analysis.xlsx]Monthly Sales!MonthlySalesPivot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'Monthly Sales'!$B$4:$B$6</c:f>
              <c:numCache>
                <c:formatCode>"$"#,##0.00</c:formatCode>
                <c:ptCount val="2"/>
                <c:pt idx="0">
                  <c:v>9601.3719999999921</c:v>
                </c:pt>
                <c:pt idx="1">
                  <c:v>1253.78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C-4461-8384-8AD61A326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915391"/>
        <c:axId val="286119679"/>
      </c:barChart>
      <c:catAx>
        <c:axId val="34391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19679"/>
        <c:crosses val="autoZero"/>
        <c:auto val="1"/>
        <c:lblAlgn val="ctr"/>
        <c:lblOffset val="100"/>
        <c:noMultiLvlLbl val="0"/>
      </c:catAx>
      <c:valAx>
        <c:axId val="2861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[supermarket_Sales_Analysis.xlsx]Customer Sales!CustomerSalesPivot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Sales'!$A$4:$A$55</c:f>
              <c:strCache>
                <c:ptCount val="51"/>
                <c:pt idx="0">
                  <c:v>Jane Doe</c:v>
                </c:pt>
                <c:pt idx="1">
                  <c:v>David Brown</c:v>
                </c:pt>
                <c:pt idx="2">
                  <c:v>Matthew Wilson</c:v>
                </c:pt>
                <c:pt idx="3">
                  <c:v>Christopher Thomas</c:v>
                </c:pt>
                <c:pt idx="4">
                  <c:v>John Smith</c:v>
                </c:pt>
                <c:pt idx="5">
                  <c:v>Emily Rodriguez</c:v>
                </c:pt>
                <c:pt idx="6">
                  <c:v>Laura Brown</c:v>
                </c:pt>
                <c:pt idx="7">
                  <c:v>Daniel Martinez</c:v>
                </c:pt>
                <c:pt idx="8">
                  <c:v>Matthew Johnson</c:v>
                </c:pt>
                <c:pt idx="9">
                  <c:v>Jessica Johnson</c:v>
                </c:pt>
                <c:pt idx="10">
                  <c:v>Christopher Rodriguez</c:v>
                </c:pt>
                <c:pt idx="11">
                  <c:v>Jessica Gonzalez</c:v>
                </c:pt>
                <c:pt idx="12">
                  <c:v>Matthew Hernandez</c:v>
                </c:pt>
                <c:pt idx="13">
                  <c:v>Sarah Anderson</c:v>
                </c:pt>
                <c:pt idx="14">
                  <c:v>James Johnson</c:v>
                </c:pt>
                <c:pt idx="15">
                  <c:v>Sarah Smith</c:v>
                </c:pt>
                <c:pt idx="16">
                  <c:v>Jessica Smith</c:v>
                </c:pt>
                <c:pt idx="17">
                  <c:v>Jennifer Smith</c:v>
                </c:pt>
                <c:pt idx="18">
                  <c:v>William Hernandez</c:v>
                </c:pt>
                <c:pt idx="19">
                  <c:v>Daniel Wilson</c:v>
                </c:pt>
                <c:pt idx="20">
                  <c:v>Amy Hernandez</c:v>
                </c:pt>
                <c:pt idx="21">
                  <c:v>Richard Perez</c:v>
                </c:pt>
                <c:pt idx="22">
                  <c:v>Michael Smith</c:v>
                </c:pt>
                <c:pt idx="23">
                  <c:v>Amanda Martinez</c:v>
                </c:pt>
                <c:pt idx="24">
                  <c:v>Sarah Garcia</c:v>
                </c:pt>
                <c:pt idx="25">
                  <c:v>Lisa Taylor</c:v>
                </c:pt>
                <c:pt idx="26">
                  <c:v>Melissa Lopez</c:v>
                </c:pt>
                <c:pt idx="27">
                  <c:v>Michael Garcia</c:v>
                </c:pt>
                <c:pt idx="28">
                  <c:v>David Martinez</c:v>
                </c:pt>
                <c:pt idx="29">
                  <c:v>Jennifer Martinez</c:v>
                </c:pt>
                <c:pt idx="30">
                  <c:v>Kimberly Garcia</c:v>
                </c:pt>
                <c:pt idx="31">
                  <c:v>Emily Davis</c:v>
                </c:pt>
                <c:pt idx="32">
                  <c:v>Daniel Davis</c:v>
                </c:pt>
                <c:pt idx="33">
                  <c:v>Michael Davis</c:v>
                </c:pt>
                <c:pt idx="34">
                  <c:v>Daniel Smith</c:v>
                </c:pt>
                <c:pt idx="35">
                  <c:v>Daniel Brown</c:v>
                </c:pt>
                <c:pt idx="36">
                  <c:v>Sarah Johnson</c:v>
                </c:pt>
                <c:pt idx="37">
                  <c:v>Matthew Smith</c:v>
                </c:pt>
                <c:pt idx="38">
                  <c:v>Jessica Martinez</c:v>
                </c:pt>
                <c:pt idx="39">
                  <c:v>Michael Martinez</c:v>
                </c:pt>
                <c:pt idx="40">
                  <c:v>Daniel Hernandez</c:v>
                </c:pt>
                <c:pt idx="41">
                  <c:v>Jennifer Hernandez</c:v>
                </c:pt>
                <c:pt idx="42">
                  <c:v>Matthew Garcia</c:v>
                </c:pt>
                <c:pt idx="43">
                  <c:v>Emily Johnson</c:v>
                </c:pt>
                <c:pt idx="44">
                  <c:v>Sarah Gonzalez</c:v>
                </c:pt>
                <c:pt idx="45">
                  <c:v>Emily Brown</c:v>
                </c:pt>
                <c:pt idx="46">
                  <c:v>David Rodriguez</c:v>
                </c:pt>
                <c:pt idx="47">
                  <c:v>Jessica Wilson</c:v>
                </c:pt>
                <c:pt idx="48">
                  <c:v>David Wilson</c:v>
                </c:pt>
                <c:pt idx="49">
                  <c:v>Michael Johnson</c:v>
                </c:pt>
                <c:pt idx="50">
                  <c:v>Jennifer Davis</c:v>
                </c:pt>
              </c:strCache>
            </c:strRef>
          </c:cat>
          <c:val>
            <c:numRef>
              <c:f>'Customer Sales'!$B$4:$B$55</c:f>
              <c:numCache>
                <c:formatCode>"$"#,##0.00</c:formatCode>
                <c:ptCount val="51"/>
                <c:pt idx="0">
                  <c:v>32.988999999999997</c:v>
                </c:pt>
                <c:pt idx="1">
                  <c:v>87.955999999999989</c:v>
                </c:pt>
                <c:pt idx="2">
                  <c:v>87.955999999999989</c:v>
                </c:pt>
                <c:pt idx="3">
                  <c:v>98.98899999999999</c:v>
                </c:pt>
                <c:pt idx="4">
                  <c:v>109.97800000000001</c:v>
                </c:pt>
                <c:pt idx="5">
                  <c:v>131.96699999999998</c:v>
                </c:pt>
                <c:pt idx="6">
                  <c:v>131.96699999999998</c:v>
                </c:pt>
                <c:pt idx="7">
                  <c:v>131.96699999999998</c:v>
                </c:pt>
                <c:pt idx="8">
                  <c:v>131.96699999999998</c:v>
                </c:pt>
                <c:pt idx="9">
                  <c:v>142.989</c:v>
                </c:pt>
                <c:pt idx="10">
                  <c:v>142.989</c:v>
                </c:pt>
                <c:pt idx="11">
                  <c:v>142.989</c:v>
                </c:pt>
                <c:pt idx="12">
                  <c:v>153.97799999999998</c:v>
                </c:pt>
                <c:pt idx="13">
                  <c:v>153.97799999999998</c:v>
                </c:pt>
                <c:pt idx="14">
                  <c:v>153.97799999999998</c:v>
                </c:pt>
                <c:pt idx="15">
                  <c:v>153.97799999999998</c:v>
                </c:pt>
                <c:pt idx="16">
                  <c:v>164.94499999999999</c:v>
                </c:pt>
                <c:pt idx="17">
                  <c:v>164.94499999999999</c:v>
                </c:pt>
                <c:pt idx="18">
                  <c:v>164.94499999999999</c:v>
                </c:pt>
                <c:pt idx="19">
                  <c:v>164.94499999999999</c:v>
                </c:pt>
                <c:pt idx="20">
                  <c:v>164.96699999999998</c:v>
                </c:pt>
                <c:pt idx="21">
                  <c:v>164.96699999999998</c:v>
                </c:pt>
                <c:pt idx="22">
                  <c:v>164.96699999999998</c:v>
                </c:pt>
                <c:pt idx="23">
                  <c:v>164.989</c:v>
                </c:pt>
                <c:pt idx="24">
                  <c:v>164.989</c:v>
                </c:pt>
                <c:pt idx="25">
                  <c:v>175.97799999999998</c:v>
                </c:pt>
                <c:pt idx="26">
                  <c:v>175.97799999999998</c:v>
                </c:pt>
                <c:pt idx="27">
                  <c:v>175.97799999999998</c:v>
                </c:pt>
                <c:pt idx="28">
                  <c:v>175.97799999999998</c:v>
                </c:pt>
                <c:pt idx="29">
                  <c:v>175.97799999999998</c:v>
                </c:pt>
                <c:pt idx="30">
                  <c:v>219.989</c:v>
                </c:pt>
                <c:pt idx="31">
                  <c:v>219.989</c:v>
                </c:pt>
                <c:pt idx="32">
                  <c:v>219.989</c:v>
                </c:pt>
                <c:pt idx="33">
                  <c:v>219.989</c:v>
                </c:pt>
                <c:pt idx="34">
                  <c:v>219.989</c:v>
                </c:pt>
                <c:pt idx="35">
                  <c:v>241.93399999999997</c:v>
                </c:pt>
                <c:pt idx="36">
                  <c:v>252.92299999999997</c:v>
                </c:pt>
                <c:pt idx="37">
                  <c:v>252.92299999999997</c:v>
                </c:pt>
                <c:pt idx="38">
                  <c:v>252.92299999999997</c:v>
                </c:pt>
                <c:pt idx="39">
                  <c:v>296.91199999999998</c:v>
                </c:pt>
                <c:pt idx="40">
                  <c:v>296.95600000000002</c:v>
                </c:pt>
                <c:pt idx="41">
                  <c:v>296.95600000000002</c:v>
                </c:pt>
                <c:pt idx="42">
                  <c:v>307.97800000000001</c:v>
                </c:pt>
                <c:pt idx="43">
                  <c:v>307.97800000000001</c:v>
                </c:pt>
                <c:pt idx="44">
                  <c:v>318.96699999999998</c:v>
                </c:pt>
                <c:pt idx="45">
                  <c:v>329.89</c:v>
                </c:pt>
                <c:pt idx="46">
                  <c:v>329.91199999999998</c:v>
                </c:pt>
                <c:pt idx="47">
                  <c:v>395.96699999999998</c:v>
                </c:pt>
                <c:pt idx="48">
                  <c:v>472.96699999999998</c:v>
                </c:pt>
                <c:pt idx="49">
                  <c:v>505.94499999999994</c:v>
                </c:pt>
                <c:pt idx="50">
                  <c:v>538.91199999999992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E-4AB8-B493-EBB766A69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3911679"/>
        <c:axId val="286127839"/>
      </c:barChart>
      <c:catAx>
        <c:axId val="34391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27839"/>
        <c:crosses val="autoZero"/>
        <c:auto val="1"/>
        <c:lblAlgn val="ctr"/>
        <c:lblOffset val="100"/>
        <c:noMultiLvlLbl val="0"/>
      </c:catAx>
      <c:valAx>
        <c:axId val="28612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1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[supermarket_Sales_Analysis.xlsx]Order Sales!RevenueByOrderSales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Order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Sales'!$A$2:$A$4</c:f>
              <c:strCache>
                <c:ptCount val="2"/>
                <c:pt idx="0">
                  <c:v>Large Order</c:v>
                </c:pt>
                <c:pt idx="1">
                  <c:v>Small Order</c:v>
                </c:pt>
              </c:strCache>
            </c:strRef>
          </c:cat>
          <c:val>
            <c:numRef>
              <c:f>'Order Sales'!$B$2:$B$4</c:f>
              <c:numCache>
                <c:formatCode>"$"#,##0.00</c:formatCode>
                <c:ptCount val="2"/>
                <c:pt idx="0">
                  <c:v>1154.6149999999998</c:v>
                </c:pt>
                <c:pt idx="1">
                  <c:v>9700.536999999993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0-4C96-A5B9-78A04A54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456367"/>
        <c:axId val="409005407"/>
      </c:barChart>
      <c:catAx>
        <c:axId val="4204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05407"/>
        <c:crosses val="autoZero"/>
        <c:auto val="1"/>
        <c:lblAlgn val="ctr"/>
        <c:lblOffset val="100"/>
        <c:noMultiLvlLbl val="0"/>
      </c:catAx>
      <c:valAx>
        <c:axId val="40900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[supermarket_Sales_Analysis.xlsx]Quantity Sales!QuantitySalesPivot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Sales'!$A$4:$A$9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'Quantity Sales'!$B$4:$B$9</c:f>
              <c:numCache>
                <c:formatCode>"$"#,##0.00</c:formatCode>
                <c:ptCount val="5"/>
                <c:pt idx="0">
                  <c:v>3992.7360000000003</c:v>
                </c:pt>
                <c:pt idx="1">
                  <c:v>2595.6480000000001</c:v>
                </c:pt>
                <c:pt idx="2">
                  <c:v>2408.5050000000006</c:v>
                </c:pt>
                <c:pt idx="3">
                  <c:v>703.64800000000002</c:v>
                </c:pt>
                <c:pt idx="4">
                  <c:v>1154.6149999999998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D-47B4-9FEB-4C8FF483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484239"/>
        <c:axId val="2123751967"/>
      </c:barChart>
      <c:catAx>
        <c:axId val="33448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51967"/>
        <c:crosses val="autoZero"/>
        <c:auto val="1"/>
        <c:lblAlgn val="ctr"/>
        <c:lblOffset val="100"/>
        <c:noMultiLvlLbl val="0"/>
      </c:catAx>
      <c:valAx>
        <c:axId val="21237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8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[supermarket_Sales_Analysis.xlsx]Shipping Perfomance!ShippingPerformancePivot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Count by Shipping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Perfomance'!$A$4:$A$9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'Shipping Perfomance'!$B$4:$B$9</c:f>
              <c:numCache>
                <c:formatCode>General</c:formatCode>
                <c:ptCount val="5"/>
                <c:pt idx="0">
                  <c:v>16619</c:v>
                </c:pt>
                <c:pt idx="1">
                  <c:v>14536</c:v>
                </c:pt>
                <c:pt idx="2">
                  <c:v>13447</c:v>
                </c:pt>
                <c:pt idx="3">
                  <c:v>15621</c:v>
                </c:pt>
                <c:pt idx="4">
                  <c:v>12262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9-4859-953E-4E354888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439199"/>
        <c:axId val="409015487"/>
      </c:barChart>
      <c:catAx>
        <c:axId val="4204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15487"/>
        <c:crosses val="autoZero"/>
        <c:auto val="1"/>
        <c:lblAlgn val="ctr"/>
        <c:lblOffset val="100"/>
        <c:noMultiLvlLbl val="0"/>
      </c:catAx>
      <c:valAx>
        <c:axId val="4090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3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6</xdr:col>
      <xdr:colOff>31750</xdr:colOff>
      <xdr:row>21</xdr:row>
      <xdr:rowOff>0</xdr:rowOff>
    </xdr:to>
    <xdr:graphicFrame macro="">
      <xdr:nvGraphicFramePr>
        <xdr:cNvPr id="2" name="MonthlySalesRevenue">
          <a:extLst>
            <a:ext uri="{FF2B5EF4-FFF2-40B4-BE49-F238E27FC236}">
              <a16:creationId xmlns:a16="http://schemas.microsoft.com/office/drawing/2014/main" id="{833E770D-118B-448C-96E7-CA7C586AC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16</xdr:col>
      <xdr:colOff>15876</xdr:colOff>
      <xdr:row>21</xdr:row>
      <xdr:rowOff>50800</xdr:rowOff>
    </xdr:to>
    <xdr:graphicFrame macro="">
      <xdr:nvGraphicFramePr>
        <xdr:cNvPr id="3" name="SalesRevenuebyCustomer">
          <a:extLst>
            <a:ext uri="{FF2B5EF4-FFF2-40B4-BE49-F238E27FC236}">
              <a16:creationId xmlns:a16="http://schemas.microsoft.com/office/drawing/2014/main" id="{E28FF2F9-508C-4BBA-BAC3-7D65AF4EE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31750</xdr:colOff>
      <xdr:row>37</xdr:row>
      <xdr:rowOff>165100</xdr:rowOff>
    </xdr:to>
    <xdr:graphicFrame macro="">
      <xdr:nvGraphicFramePr>
        <xdr:cNvPr id="4" name="SalesRevenuebyOrderSize">
          <a:extLst>
            <a:ext uri="{FF2B5EF4-FFF2-40B4-BE49-F238E27FC236}">
              <a16:creationId xmlns:a16="http://schemas.microsoft.com/office/drawing/2014/main" id="{448F76F0-6F33-4D0C-A2A3-DB3E84B7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603250</xdr:colOff>
      <xdr:row>37</xdr:row>
      <xdr:rowOff>165100</xdr:rowOff>
    </xdr:to>
    <xdr:graphicFrame macro="">
      <xdr:nvGraphicFramePr>
        <xdr:cNvPr id="5" name="RevenuebyOrderQuantity">
          <a:extLst>
            <a:ext uri="{FF2B5EF4-FFF2-40B4-BE49-F238E27FC236}">
              <a16:creationId xmlns:a16="http://schemas.microsoft.com/office/drawing/2014/main" id="{35B820B4-CB38-4226-9BFB-0C4A92AFD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15</xdr:col>
      <xdr:colOff>590550</xdr:colOff>
      <xdr:row>54</xdr:row>
      <xdr:rowOff>165100</xdr:rowOff>
    </xdr:to>
    <xdr:graphicFrame macro="">
      <xdr:nvGraphicFramePr>
        <xdr:cNvPr id="6" name="OrderCountbyShippingDays">
          <a:extLst>
            <a:ext uri="{FF2B5EF4-FFF2-40B4-BE49-F238E27FC236}">
              <a16:creationId xmlns:a16="http://schemas.microsoft.com/office/drawing/2014/main" id="{C7598783-F4A5-4C48-93CB-75244E82E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63500</xdr:rowOff>
    </xdr:from>
    <xdr:to>
      <xdr:col>10</xdr:col>
      <xdr:colOff>431800</xdr:colOff>
      <xdr:row>16</xdr:row>
      <xdr:rowOff>44450</xdr:rowOff>
    </xdr:to>
    <xdr:graphicFrame macro="">
      <xdr:nvGraphicFramePr>
        <xdr:cNvPr id="2" name="MonthlySalesRevenue">
          <a:extLst>
            <a:ext uri="{FF2B5EF4-FFF2-40B4-BE49-F238E27FC236}">
              <a16:creationId xmlns:a16="http://schemas.microsoft.com/office/drawing/2014/main" id="{ACBC661D-65A3-5376-A353-117F55AC6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57150</xdr:rowOff>
    </xdr:from>
    <xdr:to>
      <xdr:col>12</xdr:col>
      <xdr:colOff>25400</xdr:colOff>
      <xdr:row>17</xdr:row>
      <xdr:rowOff>107950</xdr:rowOff>
    </xdr:to>
    <xdr:graphicFrame macro="">
      <xdr:nvGraphicFramePr>
        <xdr:cNvPr id="3" name="SalesRevenuebyCustomer">
          <a:extLst>
            <a:ext uri="{FF2B5EF4-FFF2-40B4-BE49-F238E27FC236}">
              <a16:creationId xmlns:a16="http://schemas.microsoft.com/office/drawing/2014/main" id="{20553A3F-BAF5-65CB-44B2-48947121C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2</xdr:row>
      <xdr:rowOff>12700</xdr:rowOff>
    </xdr:from>
    <xdr:to>
      <xdr:col>10</xdr:col>
      <xdr:colOff>349250</xdr:colOff>
      <xdr:row>16</xdr:row>
      <xdr:rowOff>177800</xdr:rowOff>
    </xdr:to>
    <xdr:graphicFrame macro="">
      <xdr:nvGraphicFramePr>
        <xdr:cNvPr id="3" name="SalesRevenuebyOrderSize">
          <a:extLst>
            <a:ext uri="{FF2B5EF4-FFF2-40B4-BE49-F238E27FC236}">
              <a16:creationId xmlns:a16="http://schemas.microsoft.com/office/drawing/2014/main" id="{428443D4-2F55-F468-11C6-380F7F5BF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82550</xdr:rowOff>
    </xdr:from>
    <xdr:to>
      <xdr:col>10</xdr:col>
      <xdr:colOff>298450</xdr:colOff>
      <xdr:row>16</xdr:row>
      <xdr:rowOff>63500</xdr:rowOff>
    </xdr:to>
    <xdr:graphicFrame macro="">
      <xdr:nvGraphicFramePr>
        <xdr:cNvPr id="2" name="RevenuebyOrderQuantity">
          <a:extLst>
            <a:ext uri="{FF2B5EF4-FFF2-40B4-BE49-F238E27FC236}">
              <a16:creationId xmlns:a16="http://schemas.microsoft.com/office/drawing/2014/main" id="{8A87D017-1508-3E7E-6C0E-B5BCA792F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6350</xdr:rowOff>
    </xdr:from>
    <xdr:to>
      <xdr:col>10</xdr:col>
      <xdr:colOff>298450</xdr:colOff>
      <xdr:row>16</xdr:row>
      <xdr:rowOff>171450</xdr:rowOff>
    </xdr:to>
    <xdr:graphicFrame macro="">
      <xdr:nvGraphicFramePr>
        <xdr:cNvPr id="2" name="OrderCountbyShippingDays">
          <a:extLst>
            <a:ext uri="{FF2B5EF4-FFF2-40B4-BE49-F238E27FC236}">
              <a16:creationId xmlns:a16="http://schemas.microsoft.com/office/drawing/2014/main" id="{7B6302D3-2581-3067-82E6-88A1B3FCA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22.308278124998" createdVersion="8" refreshedVersion="8" minRefreshableVersion="3" recordCount="70" xr:uid="{997D37CD-75DD-44EF-8EED-09D7F116B2C7}">
  <cacheSource type="worksheet">
    <worksheetSource name="SupermarketSales"/>
  </cacheSource>
  <cacheFields count="11">
    <cacheField name="Order No" numFmtId="0">
      <sharedItems containsSemiMixedTypes="0" containsString="0" containsNumber="1" containsInteger="1" minValue="1001" maxValue="1070"/>
    </cacheField>
    <cacheField name="Order Date" numFmtId="14">
      <sharedItems containsSemiMixedTypes="0" containsNonDate="0" containsDate="1" containsString="0" minDate="2024-01-01T00:00:00" maxDate="2024-02-05T00:00:00"/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4">
      <sharedItems containsSemiMixedTypes="0" containsNonDate="0" containsDate="1" containsString="0" minDate="2024-01-03T00:00:00" maxDate="2024-02-09T00:00:00"/>
    </cacheField>
    <cacheField name="Retail Price (USD)" numFmtId="164">
      <sharedItems containsSemiMixedTypes="0" containsString="0" containsNumber="1" minValue="19.989999999999998" maxValue="199.99"/>
    </cacheField>
    <cacheField name="Order Quantity" numFmtId="1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Tax (USD)" numFmtId="164">
      <sharedItems containsSemiMixedTypes="0" containsString="0" containsNumber="1" minValue="2.9990000000000001" maxValue="29.997"/>
    </cacheField>
    <cacheField name="Total (USD)" numFmtId="164">
      <sharedItems containsSemiMixedTypes="0" containsString="0" containsNumber="1" minValue="32.988999999999997" maxValue="329.96699999999998"/>
    </cacheField>
    <cacheField name="Shipping Days" numFmtId="0">
      <sharedItems containsSemiMixedTypes="0" containsString="0" containsNumber="1" containsInteger="1" minValue="1" maxValue="5" count="5">
        <n v="2"/>
        <n v="3"/>
        <n v="5"/>
        <n v="1"/>
        <n v="4"/>
      </sharedItems>
    </cacheField>
    <cacheField name="Order Size Category" numFmtId="164">
      <sharedItems count="2">
        <s v="Small Order"/>
        <s v="Large Order"/>
      </sharedItems>
    </cacheField>
    <cacheField name="Order Month" numFmtId="164">
      <sharedItems count="2">
        <s v="January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001"/>
    <d v="2024-01-01T00:00:00"/>
    <x v="0"/>
    <d v="2024-01-03T00:00:00"/>
    <n v="49.99"/>
    <x v="0"/>
    <n v="9.9980000000000011"/>
    <n v="109.97800000000001"/>
    <x v="0"/>
    <x v="0"/>
    <x v="0"/>
  </r>
  <r>
    <n v="1002"/>
    <d v="2024-01-01T00:00:00"/>
    <x v="1"/>
    <d v="2024-01-04T00:00:00"/>
    <n v="29.99"/>
    <x v="1"/>
    <n v="2.9990000000000001"/>
    <n v="32.988999999999997"/>
    <x v="1"/>
    <x v="0"/>
    <x v="0"/>
  </r>
  <r>
    <n v="1003"/>
    <d v="2024-01-02T00:00:00"/>
    <x v="2"/>
    <d v="2024-01-07T00:00:00"/>
    <n v="99.99"/>
    <x v="2"/>
    <n v="29.997"/>
    <n v="329.96699999999998"/>
    <x v="2"/>
    <x v="0"/>
    <x v="0"/>
  </r>
  <r>
    <n v="1004"/>
    <d v="2024-01-02T00:00:00"/>
    <x v="3"/>
    <d v="2024-01-03T00:00:00"/>
    <n v="19.989999999999998"/>
    <x v="3"/>
    <n v="7.9959999999999996"/>
    <n v="87.955999999999989"/>
    <x v="3"/>
    <x v="0"/>
    <x v="0"/>
  </r>
  <r>
    <n v="1005"/>
    <d v="2024-01-03T00:00:00"/>
    <x v="4"/>
    <d v="2024-01-08T00:00:00"/>
    <n v="149.99"/>
    <x v="1"/>
    <n v="14.999000000000002"/>
    <n v="164.989"/>
    <x v="2"/>
    <x v="0"/>
    <x v="0"/>
  </r>
  <r>
    <n v="1006"/>
    <d v="2024-01-03T00:00:00"/>
    <x v="5"/>
    <d v="2024-01-06T00:00:00"/>
    <n v="79.989999999999995"/>
    <x v="0"/>
    <n v="15.997999999999999"/>
    <n v="175.97799999999998"/>
    <x v="1"/>
    <x v="0"/>
    <x v="0"/>
  </r>
  <r>
    <n v="1007"/>
    <d v="2024-01-04T00:00:00"/>
    <x v="6"/>
    <d v="2024-01-06T00:00:00"/>
    <n v="39.99"/>
    <x v="2"/>
    <n v="11.997"/>
    <n v="131.96699999999998"/>
    <x v="0"/>
    <x v="0"/>
    <x v="0"/>
  </r>
  <r>
    <n v="1008"/>
    <d v="2024-01-04T00:00:00"/>
    <x v="7"/>
    <d v="2024-01-09T00:00:00"/>
    <n v="69.989999999999995"/>
    <x v="0"/>
    <n v="13.997999999999999"/>
    <n v="153.97799999999998"/>
    <x v="2"/>
    <x v="0"/>
    <x v="0"/>
  </r>
  <r>
    <n v="1009"/>
    <d v="2024-01-05T00:00:00"/>
    <x v="8"/>
    <d v="2024-01-06T00:00:00"/>
    <n v="89.99"/>
    <x v="1"/>
    <n v="8.9990000000000006"/>
    <n v="98.98899999999999"/>
    <x v="3"/>
    <x v="0"/>
    <x v="0"/>
  </r>
  <r>
    <n v="1010"/>
    <d v="2024-01-05T00:00:00"/>
    <x v="9"/>
    <d v="2024-01-08T00:00:00"/>
    <n v="199.99"/>
    <x v="1"/>
    <n v="19.999000000000002"/>
    <n v="219.989"/>
    <x v="1"/>
    <x v="0"/>
    <x v="0"/>
  </r>
  <r>
    <n v="1011"/>
    <d v="2024-01-06T00:00:00"/>
    <x v="10"/>
    <d v="2024-01-07T00:00:00"/>
    <n v="29.99"/>
    <x v="4"/>
    <n v="14.994999999999999"/>
    <n v="164.94499999999999"/>
    <x v="3"/>
    <x v="1"/>
    <x v="0"/>
  </r>
  <r>
    <n v="1012"/>
    <d v="2024-01-06T00:00:00"/>
    <x v="11"/>
    <d v="2024-01-08T00:00:00"/>
    <n v="79.989999999999995"/>
    <x v="0"/>
    <n v="15.997999999999999"/>
    <n v="175.97799999999998"/>
    <x v="0"/>
    <x v="0"/>
    <x v="0"/>
  </r>
  <r>
    <n v="1013"/>
    <d v="2024-01-07T00:00:00"/>
    <x v="12"/>
    <d v="2024-01-09T00:00:00"/>
    <n v="49.99"/>
    <x v="2"/>
    <n v="14.997"/>
    <n v="164.96699999999998"/>
    <x v="0"/>
    <x v="0"/>
    <x v="0"/>
  </r>
  <r>
    <n v="1014"/>
    <d v="2024-01-07T00:00:00"/>
    <x v="13"/>
    <d v="2024-01-12T00:00:00"/>
    <n v="129.99"/>
    <x v="1"/>
    <n v="12.999000000000002"/>
    <n v="142.989"/>
    <x v="2"/>
    <x v="0"/>
    <x v="0"/>
  </r>
  <r>
    <n v="1015"/>
    <d v="2024-01-08T00:00:00"/>
    <x v="14"/>
    <d v="2024-01-13T00:00:00"/>
    <n v="19.989999999999998"/>
    <x v="3"/>
    <n v="7.9959999999999996"/>
    <n v="87.955999999999989"/>
    <x v="2"/>
    <x v="0"/>
    <x v="0"/>
  </r>
  <r>
    <n v="1016"/>
    <d v="2024-01-08T00:00:00"/>
    <x v="15"/>
    <d v="2024-01-12T00:00:00"/>
    <n v="149.99"/>
    <x v="1"/>
    <n v="14.999000000000002"/>
    <n v="164.989"/>
    <x v="4"/>
    <x v="0"/>
    <x v="0"/>
  </r>
  <r>
    <n v="1017"/>
    <d v="2024-01-09T00:00:00"/>
    <x v="16"/>
    <d v="2024-01-14T00:00:00"/>
    <n v="69.989999999999995"/>
    <x v="0"/>
    <n v="13.997999999999999"/>
    <n v="153.97799999999998"/>
    <x v="2"/>
    <x v="0"/>
    <x v="0"/>
  </r>
  <r>
    <n v="1018"/>
    <d v="2024-01-09T00:00:00"/>
    <x v="17"/>
    <d v="2024-01-12T00:00:00"/>
    <n v="39.99"/>
    <x v="2"/>
    <n v="11.997"/>
    <n v="131.96699999999998"/>
    <x v="1"/>
    <x v="0"/>
    <x v="0"/>
  </r>
  <r>
    <n v="1019"/>
    <d v="2024-01-10T00:00:00"/>
    <x v="18"/>
    <d v="2024-01-11T00:00:00"/>
    <n v="199.99"/>
    <x v="1"/>
    <n v="19.999000000000002"/>
    <n v="219.989"/>
    <x v="3"/>
    <x v="0"/>
    <x v="0"/>
  </r>
  <r>
    <n v="1020"/>
    <d v="2024-01-10T00:00:00"/>
    <x v="19"/>
    <d v="2024-01-14T00:00:00"/>
    <n v="29.99"/>
    <x v="4"/>
    <n v="14.994999999999999"/>
    <n v="164.94499999999999"/>
    <x v="4"/>
    <x v="1"/>
    <x v="0"/>
  </r>
  <r>
    <n v="1021"/>
    <d v="2024-01-11T00:00:00"/>
    <x v="20"/>
    <d v="2024-01-14T00:00:00"/>
    <n v="79.989999999999995"/>
    <x v="0"/>
    <n v="15.997999999999999"/>
    <n v="175.97799999999998"/>
    <x v="1"/>
    <x v="0"/>
    <x v="0"/>
  </r>
  <r>
    <n v="1022"/>
    <d v="2024-01-11T00:00:00"/>
    <x v="21"/>
    <d v="2024-01-15T00:00:00"/>
    <n v="49.99"/>
    <x v="2"/>
    <n v="14.997"/>
    <n v="164.96699999999998"/>
    <x v="4"/>
    <x v="0"/>
    <x v="0"/>
  </r>
  <r>
    <n v="1023"/>
    <d v="2024-01-12T00:00:00"/>
    <x v="22"/>
    <d v="2024-01-17T00:00:00"/>
    <n v="129.99"/>
    <x v="1"/>
    <n v="12.999000000000002"/>
    <n v="142.989"/>
    <x v="2"/>
    <x v="0"/>
    <x v="0"/>
  </r>
  <r>
    <n v="1024"/>
    <d v="2024-01-12T00:00:00"/>
    <x v="23"/>
    <d v="2024-01-17T00:00:00"/>
    <n v="19.989999999999998"/>
    <x v="3"/>
    <n v="7.9959999999999996"/>
    <n v="87.955999999999989"/>
    <x v="2"/>
    <x v="0"/>
    <x v="0"/>
  </r>
  <r>
    <n v="1025"/>
    <d v="2024-01-13T00:00:00"/>
    <x v="4"/>
    <d v="2024-01-17T00:00:00"/>
    <n v="149.99"/>
    <x v="1"/>
    <n v="14.999000000000002"/>
    <n v="164.989"/>
    <x v="4"/>
    <x v="0"/>
    <x v="0"/>
  </r>
  <r>
    <n v="1026"/>
    <d v="2024-01-13T00:00:00"/>
    <x v="24"/>
    <d v="2024-01-14T00:00:00"/>
    <n v="69.989999999999995"/>
    <x v="0"/>
    <n v="13.997999999999999"/>
    <n v="153.97799999999998"/>
    <x v="3"/>
    <x v="0"/>
    <x v="0"/>
  </r>
  <r>
    <n v="1027"/>
    <d v="2024-01-14T00:00:00"/>
    <x v="25"/>
    <d v="2024-01-18T00:00:00"/>
    <n v="39.99"/>
    <x v="2"/>
    <n v="11.997"/>
    <n v="131.96699999999998"/>
    <x v="4"/>
    <x v="0"/>
    <x v="0"/>
  </r>
  <r>
    <n v="1028"/>
    <d v="2024-01-14T00:00:00"/>
    <x v="26"/>
    <d v="2024-01-19T00:00:00"/>
    <n v="199.99"/>
    <x v="1"/>
    <n v="19.999000000000002"/>
    <n v="219.989"/>
    <x v="2"/>
    <x v="0"/>
    <x v="0"/>
  </r>
  <r>
    <n v="1029"/>
    <d v="2024-01-15T00:00:00"/>
    <x v="27"/>
    <d v="2024-01-19T00:00:00"/>
    <n v="29.99"/>
    <x v="4"/>
    <n v="14.994999999999999"/>
    <n v="164.94499999999999"/>
    <x v="4"/>
    <x v="1"/>
    <x v="0"/>
  </r>
  <r>
    <n v="1030"/>
    <d v="2024-01-15T00:00:00"/>
    <x v="28"/>
    <d v="2024-01-19T00:00:00"/>
    <n v="79.989999999999995"/>
    <x v="0"/>
    <n v="15.997999999999999"/>
    <n v="175.97799999999998"/>
    <x v="4"/>
    <x v="0"/>
    <x v="0"/>
  </r>
  <r>
    <n v="1031"/>
    <d v="2024-01-16T00:00:00"/>
    <x v="29"/>
    <d v="2024-01-19T00:00:00"/>
    <n v="49.99"/>
    <x v="2"/>
    <n v="14.997"/>
    <n v="164.96699999999998"/>
    <x v="1"/>
    <x v="0"/>
    <x v="0"/>
  </r>
  <r>
    <n v="1032"/>
    <d v="2024-01-16T00:00:00"/>
    <x v="30"/>
    <d v="2024-01-17T00:00:00"/>
    <n v="129.99"/>
    <x v="1"/>
    <n v="12.999000000000002"/>
    <n v="142.989"/>
    <x v="3"/>
    <x v="0"/>
    <x v="0"/>
  </r>
  <r>
    <n v="1033"/>
    <d v="2024-01-17T00:00:00"/>
    <x v="31"/>
    <d v="2024-01-19T00:00:00"/>
    <n v="19.989999999999998"/>
    <x v="3"/>
    <n v="7.9959999999999996"/>
    <n v="87.955999999999989"/>
    <x v="0"/>
    <x v="0"/>
    <x v="0"/>
  </r>
  <r>
    <n v="1034"/>
    <d v="2024-01-17T00:00:00"/>
    <x v="32"/>
    <d v="2024-01-19T00:00:00"/>
    <n v="149.99"/>
    <x v="1"/>
    <n v="14.999000000000002"/>
    <n v="164.989"/>
    <x v="0"/>
    <x v="0"/>
    <x v="0"/>
  </r>
  <r>
    <n v="1035"/>
    <d v="2024-01-18T00:00:00"/>
    <x v="33"/>
    <d v="2024-01-23T00:00:00"/>
    <n v="69.989999999999995"/>
    <x v="0"/>
    <n v="13.997999999999999"/>
    <n v="153.97799999999998"/>
    <x v="2"/>
    <x v="0"/>
    <x v="0"/>
  </r>
  <r>
    <n v="1036"/>
    <d v="2024-01-18T00:00:00"/>
    <x v="34"/>
    <d v="2024-01-19T00:00:00"/>
    <n v="39.99"/>
    <x v="2"/>
    <n v="11.997"/>
    <n v="131.96699999999998"/>
    <x v="3"/>
    <x v="0"/>
    <x v="0"/>
  </r>
  <r>
    <n v="1037"/>
    <d v="2024-01-19T00:00:00"/>
    <x v="35"/>
    <d v="2024-01-20T00:00:00"/>
    <n v="199.99"/>
    <x v="1"/>
    <n v="19.999000000000002"/>
    <n v="219.989"/>
    <x v="3"/>
    <x v="0"/>
    <x v="0"/>
  </r>
  <r>
    <n v="1038"/>
    <d v="2024-01-19T00:00:00"/>
    <x v="36"/>
    <d v="2024-01-22T00:00:00"/>
    <n v="29.99"/>
    <x v="4"/>
    <n v="14.994999999999999"/>
    <n v="164.94499999999999"/>
    <x v="1"/>
    <x v="1"/>
    <x v="0"/>
  </r>
  <r>
    <n v="1039"/>
    <d v="2024-01-20T00:00:00"/>
    <x v="2"/>
    <d v="2024-01-24T00:00:00"/>
    <n v="79.989999999999995"/>
    <x v="0"/>
    <n v="15.997999999999999"/>
    <n v="175.97799999999998"/>
    <x v="4"/>
    <x v="0"/>
    <x v="0"/>
  </r>
  <r>
    <n v="1040"/>
    <d v="2024-01-20T00:00:00"/>
    <x v="23"/>
    <d v="2024-01-21T00:00:00"/>
    <n v="49.99"/>
    <x v="2"/>
    <n v="14.997"/>
    <n v="164.96699999999998"/>
    <x v="3"/>
    <x v="0"/>
    <x v="0"/>
  </r>
  <r>
    <n v="1041"/>
    <d v="2024-01-21T00:00:00"/>
    <x v="4"/>
    <d v="2024-01-26T00:00:00"/>
    <n v="129.99"/>
    <x v="1"/>
    <n v="12.999000000000002"/>
    <n v="142.989"/>
    <x v="2"/>
    <x v="0"/>
    <x v="0"/>
  </r>
  <r>
    <n v="1042"/>
    <d v="2024-01-21T00:00:00"/>
    <x v="37"/>
    <d v="2024-01-23T00:00:00"/>
    <n v="19.989999999999998"/>
    <x v="3"/>
    <n v="7.9959999999999996"/>
    <n v="87.955999999999989"/>
    <x v="0"/>
    <x v="0"/>
    <x v="0"/>
  </r>
  <r>
    <n v="1043"/>
    <d v="2024-01-22T00:00:00"/>
    <x v="38"/>
    <d v="2024-01-25T00:00:00"/>
    <n v="149.99"/>
    <x v="1"/>
    <n v="14.999000000000002"/>
    <n v="164.989"/>
    <x v="1"/>
    <x v="0"/>
    <x v="0"/>
  </r>
  <r>
    <n v="1044"/>
    <d v="2024-01-22T00:00:00"/>
    <x v="3"/>
    <d v="2024-01-25T00:00:00"/>
    <n v="69.989999999999995"/>
    <x v="0"/>
    <n v="13.997999999999999"/>
    <n v="153.97799999999998"/>
    <x v="1"/>
    <x v="0"/>
    <x v="0"/>
  </r>
  <r>
    <n v="1045"/>
    <d v="2024-01-23T00:00:00"/>
    <x v="39"/>
    <d v="2024-01-27T00:00:00"/>
    <n v="39.99"/>
    <x v="2"/>
    <n v="11.997"/>
    <n v="131.96699999999998"/>
    <x v="4"/>
    <x v="0"/>
    <x v="0"/>
  </r>
  <r>
    <n v="1046"/>
    <d v="2024-01-23T00:00:00"/>
    <x v="19"/>
    <d v="2024-01-26T00:00:00"/>
    <n v="199.99"/>
    <x v="1"/>
    <n v="19.999000000000002"/>
    <n v="219.989"/>
    <x v="1"/>
    <x v="0"/>
    <x v="0"/>
  </r>
  <r>
    <n v="1047"/>
    <d v="2024-01-24T00:00:00"/>
    <x v="40"/>
    <d v="2024-01-25T00:00:00"/>
    <n v="29.99"/>
    <x v="4"/>
    <n v="14.994999999999999"/>
    <n v="164.94499999999999"/>
    <x v="3"/>
    <x v="1"/>
    <x v="0"/>
  </r>
  <r>
    <n v="1048"/>
    <d v="2024-01-24T00:00:00"/>
    <x v="41"/>
    <d v="2024-01-26T00:00:00"/>
    <n v="79.989999999999995"/>
    <x v="0"/>
    <n v="15.997999999999999"/>
    <n v="175.97799999999998"/>
    <x v="0"/>
    <x v="0"/>
    <x v="0"/>
  </r>
  <r>
    <n v="1049"/>
    <d v="2024-01-25T00:00:00"/>
    <x v="42"/>
    <d v="2024-01-30T00:00:00"/>
    <n v="49.99"/>
    <x v="2"/>
    <n v="14.997"/>
    <n v="164.96699999999998"/>
    <x v="2"/>
    <x v="0"/>
    <x v="0"/>
  </r>
  <r>
    <n v="1050"/>
    <d v="2024-01-25T00:00:00"/>
    <x v="43"/>
    <d v="2024-01-27T00:00:00"/>
    <n v="129.99"/>
    <x v="1"/>
    <n v="12.999000000000002"/>
    <n v="142.989"/>
    <x v="0"/>
    <x v="0"/>
    <x v="0"/>
  </r>
  <r>
    <n v="1051"/>
    <d v="2024-01-26T00:00:00"/>
    <x v="44"/>
    <d v="2024-01-29T00:00:00"/>
    <n v="19.989999999999998"/>
    <x v="3"/>
    <n v="7.9959999999999996"/>
    <n v="87.955999999999989"/>
    <x v="1"/>
    <x v="0"/>
    <x v="0"/>
  </r>
  <r>
    <n v="1052"/>
    <d v="2024-01-26T00:00:00"/>
    <x v="45"/>
    <d v="2024-01-28T00:00:00"/>
    <n v="149.99"/>
    <x v="1"/>
    <n v="14.999000000000002"/>
    <n v="164.989"/>
    <x v="0"/>
    <x v="0"/>
    <x v="0"/>
  </r>
  <r>
    <n v="1053"/>
    <d v="2024-01-27T00:00:00"/>
    <x v="46"/>
    <d v="2024-01-31T00:00:00"/>
    <n v="69.989999999999995"/>
    <x v="0"/>
    <n v="13.997999999999999"/>
    <n v="153.97799999999998"/>
    <x v="4"/>
    <x v="0"/>
    <x v="0"/>
  </r>
  <r>
    <n v="1054"/>
    <d v="2024-01-27T00:00:00"/>
    <x v="47"/>
    <d v="2024-01-31T00:00:00"/>
    <n v="39.99"/>
    <x v="2"/>
    <n v="11.997"/>
    <n v="131.96699999999998"/>
    <x v="4"/>
    <x v="0"/>
    <x v="0"/>
  </r>
  <r>
    <n v="1055"/>
    <d v="2024-01-28T00:00:00"/>
    <x v="48"/>
    <d v="2024-01-29T00:00:00"/>
    <n v="199.99"/>
    <x v="1"/>
    <n v="19.999000000000002"/>
    <n v="219.989"/>
    <x v="3"/>
    <x v="0"/>
    <x v="0"/>
  </r>
  <r>
    <n v="1056"/>
    <d v="2024-01-28T00:00:00"/>
    <x v="49"/>
    <d v="2024-01-29T00:00:00"/>
    <n v="29.99"/>
    <x v="4"/>
    <n v="14.994999999999999"/>
    <n v="164.94499999999999"/>
    <x v="3"/>
    <x v="1"/>
    <x v="0"/>
  </r>
  <r>
    <n v="1057"/>
    <d v="2024-01-29T00:00:00"/>
    <x v="50"/>
    <d v="2024-01-30T00:00:00"/>
    <n v="79.989999999999995"/>
    <x v="0"/>
    <n v="15.997999999999999"/>
    <n v="175.97799999999998"/>
    <x v="3"/>
    <x v="0"/>
    <x v="0"/>
  </r>
  <r>
    <n v="1058"/>
    <d v="2024-01-29T00:00:00"/>
    <x v="37"/>
    <d v="2024-01-31T00:00:00"/>
    <n v="49.99"/>
    <x v="2"/>
    <n v="14.997"/>
    <n v="164.96699999999998"/>
    <x v="0"/>
    <x v="0"/>
    <x v="0"/>
  </r>
  <r>
    <n v="1059"/>
    <d v="2024-01-30T00:00:00"/>
    <x v="38"/>
    <d v="2024-01-31T00:00:00"/>
    <n v="129.99"/>
    <x v="1"/>
    <n v="12.999000000000002"/>
    <n v="142.989"/>
    <x v="3"/>
    <x v="0"/>
    <x v="0"/>
  </r>
  <r>
    <n v="1060"/>
    <d v="2024-01-30T00:00:00"/>
    <x v="3"/>
    <d v="2024-02-01T00:00:00"/>
    <n v="19.989999999999998"/>
    <x v="3"/>
    <n v="7.9959999999999996"/>
    <n v="87.955999999999989"/>
    <x v="0"/>
    <x v="0"/>
    <x v="0"/>
  </r>
  <r>
    <n v="1061"/>
    <d v="2024-01-31T00:00:00"/>
    <x v="39"/>
    <d v="2024-02-02T00:00:00"/>
    <n v="149.99"/>
    <x v="1"/>
    <n v="14.999000000000002"/>
    <n v="164.989"/>
    <x v="0"/>
    <x v="0"/>
    <x v="0"/>
  </r>
  <r>
    <n v="1062"/>
    <d v="2024-01-31T00:00:00"/>
    <x v="19"/>
    <d v="2024-02-04T00:00:00"/>
    <n v="69.989999999999995"/>
    <x v="0"/>
    <n v="13.997999999999999"/>
    <n v="153.97799999999998"/>
    <x v="4"/>
    <x v="0"/>
    <x v="0"/>
  </r>
  <r>
    <n v="1063"/>
    <d v="2024-02-01T00:00:00"/>
    <x v="40"/>
    <d v="2024-02-02T00:00:00"/>
    <n v="39.99"/>
    <x v="2"/>
    <n v="11.997"/>
    <n v="131.96699999999998"/>
    <x v="3"/>
    <x v="0"/>
    <x v="1"/>
  </r>
  <r>
    <n v="1064"/>
    <d v="2024-02-01T00:00:00"/>
    <x v="41"/>
    <d v="2024-02-05T00:00:00"/>
    <n v="199.99"/>
    <x v="1"/>
    <n v="19.999000000000002"/>
    <n v="219.989"/>
    <x v="4"/>
    <x v="0"/>
    <x v="1"/>
  </r>
  <r>
    <n v="1065"/>
    <d v="2024-02-01T00:00:00"/>
    <x v="42"/>
    <d v="2024-02-03T00:00:00"/>
    <n v="29.99"/>
    <x v="4"/>
    <n v="14.994999999999999"/>
    <n v="164.94499999999999"/>
    <x v="0"/>
    <x v="1"/>
    <x v="1"/>
  </r>
  <r>
    <n v="1066"/>
    <d v="2024-02-02T00:00:00"/>
    <x v="43"/>
    <d v="2024-02-06T00:00:00"/>
    <n v="79.989999999999995"/>
    <x v="0"/>
    <n v="15.997999999999999"/>
    <n v="175.97799999999998"/>
    <x v="4"/>
    <x v="0"/>
    <x v="1"/>
  </r>
  <r>
    <n v="1067"/>
    <d v="2024-02-03T00:00:00"/>
    <x v="44"/>
    <d v="2024-02-06T00:00:00"/>
    <n v="49.99"/>
    <x v="2"/>
    <n v="14.997"/>
    <n v="164.96699999999998"/>
    <x v="1"/>
    <x v="0"/>
    <x v="1"/>
  </r>
  <r>
    <n v="1068"/>
    <d v="2024-02-04T00:00:00"/>
    <x v="45"/>
    <d v="2024-02-05T00:00:00"/>
    <n v="129.99"/>
    <x v="1"/>
    <n v="12.999000000000002"/>
    <n v="142.989"/>
    <x v="3"/>
    <x v="0"/>
    <x v="1"/>
  </r>
  <r>
    <n v="1069"/>
    <d v="2024-02-04T00:00:00"/>
    <x v="46"/>
    <d v="2024-02-08T00:00:00"/>
    <n v="19.989999999999998"/>
    <x v="3"/>
    <n v="7.9959999999999996"/>
    <n v="87.955999999999989"/>
    <x v="4"/>
    <x v="0"/>
    <x v="1"/>
  </r>
  <r>
    <n v="1070"/>
    <d v="2024-02-04T00:00:00"/>
    <x v="47"/>
    <d v="2024-02-07T00:00:00"/>
    <n v="149.99"/>
    <x v="1"/>
    <n v="14.999000000000002"/>
    <n v="164.989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7BA3D-A609-4C45-B8C1-313EBFBBEEF1}" name="MonthlySale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1">
    <pivotField showAll="0"/>
    <pivotField numFmtId="14" showAll="0"/>
    <pivotField showAll="0"/>
    <pivotField numFmtId="14" showAll="0"/>
    <pivotField numFmtId="164" showAll="0"/>
    <pivotField numFmtId="1" showAll="0"/>
    <pivotField numFmtId="164" showAll="0"/>
    <pivotField dataField="1" numFmtId="164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Total (USD)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7B1A3-C6CB-4314-B564-4CFA9100E7A5}" name="CustomerSale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5" firstHeaderRow="1" firstDataRow="1" firstDataCol="1"/>
  <pivotFields count="11">
    <pivotField showAll="0"/>
    <pivotField numFmtId="14" showAll="0"/>
    <pivotField axis="axisRow" showAll="0" sortType="ascending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64" showAll="0"/>
    <pivotField numFmtId="1" showAll="0"/>
    <pivotField numFmtId="164" showAll="0"/>
    <pivotField dataField="1" numFmtId="164" showAll="0"/>
    <pivotField showAll="0"/>
    <pivotField showAll="0"/>
    <pivotField showAll="0"/>
  </pivotFields>
  <rowFields count="1">
    <field x="2"/>
  </rowFields>
  <rowItems count="52">
    <i>
      <x v="19"/>
    </i>
    <i>
      <x v="10"/>
    </i>
    <i>
      <x v="37"/>
    </i>
    <i>
      <x v="3"/>
    </i>
    <i>
      <x v="29"/>
    </i>
    <i>
      <x v="17"/>
    </i>
    <i>
      <x v="31"/>
    </i>
    <i>
      <x v="7"/>
    </i>
    <i>
      <x v="35"/>
    </i>
    <i>
      <x v="25"/>
    </i>
    <i>
      <x v="2"/>
    </i>
    <i>
      <x v="24"/>
    </i>
    <i>
      <x v="34"/>
    </i>
    <i>
      <x v="45"/>
    </i>
    <i>
      <x v="18"/>
    </i>
    <i>
      <x v="49"/>
    </i>
    <i>
      <x v="27"/>
    </i>
    <i>
      <x v="23"/>
    </i>
    <i>
      <x v="50"/>
    </i>
    <i>
      <x v="9"/>
    </i>
    <i>
      <x v="1"/>
    </i>
    <i>
      <x v="44"/>
    </i>
    <i>
      <x v="43"/>
    </i>
    <i>
      <x/>
    </i>
    <i>
      <x v="46"/>
    </i>
    <i>
      <x v="32"/>
    </i>
    <i>
      <x v="38"/>
    </i>
    <i>
      <x v="40"/>
    </i>
    <i>
      <x v="11"/>
    </i>
    <i>
      <x v="22"/>
    </i>
    <i>
      <x v="30"/>
    </i>
    <i>
      <x v="15"/>
    </i>
    <i>
      <x v="5"/>
    </i>
    <i>
      <x v="39"/>
    </i>
    <i>
      <x v="8"/>
    </i>
    <i>
      <x v="4"/>
    </i>
    <i>
      <x v="48"/>
    </i>
    <i>
      <x v="36"/>
    </i>
    <i>
      <x v="26"/>
    </i>
    <i>
      <x v="42"/>
    </i>
    <i>
      <x v="6"/>
    </i>
    <i>
      <x v="21"/>
    </i>
    <i>
      <x v="33"/>
    </i>
    <i>
      <x v="16"/>
    </i>
    <i>
      <x v="47"/>
    </i>
    <i>
      <x v="14"/>
    </i>
    <i>
      <x v="12"/>
    </i>
    <i>
      <x v="28"/>
    </i>
    <i>
      <x v="13"/>
    </i>
    <i>
      <x v="41"/>
    </i>
    <i>
      <x v="20"/>
    </i>
    <i t="grand">
      <x/>
    </i>
  </rowItems>
  <colItems count="1">
    <i/>
  </colItems>
  <dataFields count="1">
    <dataField name="Sum of Total (USD)" fld="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3BA8E-D573-4CC8-AFD2-757CD017D2CF}" name="RevenueByOrderSales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4" firstHeaderRow="1" firstDataRow="1" firstDataCol="1"/>
  <pivotFields count="11">
    <pivotField showAll="0"/>
    <pivotField numFmtId="14" showAll="0"/>
    <pivotField showAll="0"/>
    <pivotField numFmtId="14" showAll="0"/>
    <pivotField numFmtId="164" showAll="0"/>
    <pivotField numFmtId="1" showAll="0"/>
    <pivotField numFmtId="164" showAll="0"/>
    <pivotField dataField="1" numFmtId="164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 (USD)" fld="7" baseField="0" baseItem="0" numFmtId="164"/>
  </dataFields>
  <chartFormats count="9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490E4-3C7F-46CD-8D45-2EDBE1E9DDEA}" name="QuantitySale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numFmtId="14" showAll="0"/>
    <pivotField showAll="0"/>
    <pivotField numFmtId="14" showAll="0"/>
    <pivotField numFmtId="164" showAll="0"/>
    <pivotField axis="axisRow" numFmtId="1" showAll="0">
      <items count="6">
        <item x="1"/>
        <item x="0"/>
        <item x="2"/>
        <item x="3"/>
        <item x="4"/>
        <item t="default"/>
      </items>
    </pivotField>
    <pivotField numFmtId="164" showAll="0"/>
    <pivotField dataField="1" numFmtId="164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(USD)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56B98-73C3-45B8-9E0F-4008468068CB}" name="ShippingPerformanc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dataField="1" showAll="0"/>
    <pivotField numFmtId="14" showAll="0"/>
    <pivotField showAll="0"/>
    <pivotField numFmtId="14" showAll="0"/>
    <pivotField numFmtId="164" showAll="0"/>
    <pivotField numFmtId="1" showAll="0"/>
    <pivotField numFmtId="164" showAll="0"/>
    <pivotField numFmtId="16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No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E3551-6A14-4F7C-9FE0-8D5263BE2661}" name="SupermarketSales" displayName="SupermarketSales" ref="A1:K71" totalsRowShown="0" headerRowDxfId="15" dataDxfId="14" tableBorderDxfId="13">
  <autoFilter ref="A1:K71" xr:uid="{648E3551-6A14-4F7C-9FE0-8D5263BE2661}"/>
  <tableColumns count="11">
    <tableColumn id="1" xr3:uid="{0F31E6B1-2C25-4FAE-93AD-EA251F94F00C}" name="Order No" dataDxfId="12"/>
    <tableColumn id="2" xr3:uid="{E0DE9F61-B7BC-4902-8CD4-F590B225C35B}" name="Order Date" dataDxfId="11"/>
    <tableColumn id="3" xr3:uid="{8DEEDF5A-44EF-43C0-9178-54A16E8222EF}" name="Customer Name" dataDxfId="10"/>
    <tableColumn id="4" xr3:uid="{E04C8BB3-6983-4AEC-A53C-3D2049D5C533}" name="Ship Date" dataDxfId="9"/>
    <tableColumn id="5" xr3:uid="{524B4226-528C-43A8-8F3F-CD6006F9BF82}" name="Retail Price (USD)" dataDxfId="8"/>
    <tableColumn id="6" xr3:uid="{910F2C05-1D7C-4A1D-A158-157E56EA758C}" name="Order Quantity" dataDxfId="7"/>
    <tableColumn id="7" xr3:uid="{F6B4B10B-06B6-4841-A6AF-13D0C2B4072F}" name="Tax (USD)" dataDxfId="6">
      <calculatedColumnFormula>E2*F2*10%</calculatedColumnFormula>
    </tableColumn>
    <tableColumn id="8" xr3:uid="{067AC366-3CFE-4555-8279-1095E23EBBAB}" name="Total (USD)" dataDxfId="5">
      <calculatedColumnFormula>E2*F2+G2</calculatedColumnFormula>
    </tableColumn>
    <tableColumn id="9" xr3:uid="{816ABB86-D34A-46E1-87BB-F1A65B1A836C}" name="Shipping Days" dataDxfId="4">
      <calculatedColumnFormula>D2-B2</calculatedColumnFormula>
    </tableColumn>
    <tableColumn id="10" xr3:uid="{5DDAF37D-39BA-46C1-9CB2-21DB6649982E}" name="Order Size Category" dataDxfId="3">
      <calculatedColumnFormula>IF('SuperMarket Sales'!F2&gt;=5, "Large Order", "Small Order")</calculatedColumnFormula>
    </tableColumn>
    <tableColumn id="11" xr3:uid="{36905B58-3DDF-4A5D-8D9D-38C2D416B17D}" name="Order Month" dataDxfId="2">
      <calculatedColumnFormula>TEXT(B2,"mmmm")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E9C9-1F4A-4E6D-AE19-5F6414B4DCC2}">
  <dimension ref="A1:P4"/>
  <sheetViews>
    <sheetView zoomScale="71" zoomScaleNormal="71" workbookViewId="0">
      <selection sqref="A1:P1"/>
    </sheetView>
  </sheetViews>
  <sheetFormatPr defaultRowHeight="14.5" x14ac:dyDescent="0.35"/>
  <cols>
    <col min="1" max="1" width="12.08984375" bestFit="1" customWidth="1"/>
    <col min="3" max="4" width="10.7265625" bestFit="1" customWidth="1"/>
    <col min="5" max="5" width="16" bestFit="1" customWidth="1"/>
    <col min="7" max="7" width="17.36328125" bestFit="1" customWidth="1"/>
    <col min="8" max="8" width="16" bestFit="1" customWidth="1"/>
    <col min="14" max="14" width="8.7265625" customWidth="1"/>
    <col min="15" max="15" width="17.36328125" bestFit="1" customWidth="1"/>
    <col min="16" max="16" width="8.984375E-2" customWidth="1"/>
  </cols>
  <sheetData>
    <row r="1" spans="1:16" ht="20" x14ac:dyDescent="0.4">
      <c r="A1" s="30" t="s">
        <v>143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3" spans="1:16" x14ac:dyDescent="0.35">
      <c r="A3" s="28" t="s">
        <v>114</v>
      </c>
      <c r="D3" s="28" t="s">
        <v>115</v>
      </c>
      <c r="H3" s="28" t="s">
        <v>116</v>
      </c>
      <c r="O3" s="28" t="s">
        <v>117</v>
      </c>
    </row>
    <row r="4" spans="1:16" x14ac:dyDescent="0.35">
      <c r="A4" s="27">
        <f xml:space="preserve"> 'Sales Analysis'!B2</f>
        <v>10855.151999999991</v>
      </c>
      <c r="D4" s="29">
        <f>'Sales Analysis'!B3</f>
        <v>70</v>
      </c>
      <c r="H4" s="29">
        <f>'Sales Analysis'!B4</f>
        <v>168</v>
      </c>
      <c r="O4" s="27">
        <f>'Sales Analysis'!B5</f>
        <v>155.07359999999986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503B-02DF-479B-B900-DC5612388B37}">
  <dimension ref="A1:B19"/>
  <sheetViews>
    <sheetView zoomScale="80" zoomScaleNormal="80" workbookViewId="0">
      <selection activeCell="A4" sqref="A4"/>
    </sheetView>
  </sheetViews>
  <sheetFormatPr defaultRowHeight="14.5" x14ac:dyDescent="0.35"/>
  <cols>
    <col min="1" max="1" width="31.54296875" customWidth="1"/>
    <col min="2" max="2" width="12.81640625" customWidth="1"/>
  </cols>
  <sheetData>
    <row r="1" spans="1:2" ht="17.5" x14ac:dyDescent="0.35">
      <c r="A1" s="31" t="s">
        <v>123</v>
      </c>
      <c r="B1" s="31" t="s">
        <v>113</v>
      </c>
    </row>
    <row r="2" spans="1:2" x14ac:dyDescent="0.35">
      <c r="A2" s="17" t="s">
        <v>114</v>
      </c>
      <c r="B2" s="16">
        <f>SUM('SuperMarket Sales'!H2:H71)</f>
        <v>10855.151999999991</v>
      </c>
    </row>
    <row r="3" spans="1:2" x14ac:dyDescent="0.35">
      <c r="A3" s="17" t="s">
        <v>115</v>
      </c>
      <c r="B3" s="15">
        <f>COUNTA('SuperMarket Sales'!A2:A71)</f>
        <v>70</v>
      </c>
    </row>
    <row r="4" spans="1:2" x14ac:dyDescent="0.35">
      <c r="A4" s="17" t="s">
        <v>116</v>
      </c>
      <c r="B4" s="26">
        <f>SUM('SuperMarket Sales'!F2:F71)</f>
        <v>168</v>
      </c>
    </row>
    <row r="5" spans="1:2" x14ac:dyDescent="0.35">
      <c r="A5" s="17" t="s">
        <v>117</v>
      </c>
      <c r="B5" s="16">
        <f>AVERAGE('SuperMarket Sales'!H2:H71)</f>
        <v>155.07359999999986</v>
      </c>
    </row>
    <row r="6" spans="1:2" x14ac:dyDescent="0.35">
      <c r="A6" s="17" t="s">
        <v>118</v>
      </c>
      <c r="B6" s="16">
        <f>MAX('SuperMarket Sales'!H2:H71)</f>
        <v>329.96699999999998</v>
      </c>
    </row>
    <row r="7" spans="1:2" x14ac:dyDescent="0.35">
      <c r="A7" s="17" t="s">
        <v>119</v>
      </c>
      <c r="B7" s="16">
        <f>MIN('SuperMarket Sales'!H2:H71)</f>
        <v>32.988999999999997</v>
      </c>
    </row>
    <row r="8" spans="1:2" ht="42.5" x14ac:dyDescent="0.35">
      <c r="A8" s="18" t="s">
        <v>120</v>
      </c>
      <c r="B8" s="16">
        <f>SUMIF('SuperMarket Sales'!F2:F71,"&gt;=5",'SuperMarket Sales'!H2:H71)</f>
        <v>1154.6149999999998</v>
      </c>
    </row>
    <row r="9" spans="1:2" ht="28.5" x14ac:dyDescent="0.35">
      <c r="A9" s="18" t="s">
        <v>121</v>
      </c>
      <c r="B9">
        <f>COUNTIF('SuperMarket Sales'!A2:A71,"&gt;=5")</f>
        <v>70</v>
      </c>
    </row>
    <row r="10" spans="1:2" x14ac:dyDescent="0.35">
      <c r="A10" s="17" t="s">
        <v>124</v>
      </c>
      <c r="B10">
        <f>AVERAGE('SuperMarket Sales'!I2:I71)</f>
        <v>2.9</v>
      </c>
    </row>
    <row r="11" spans="1:2" x14ac:dyDescent="0.35">
      <c r="A11" s="17" t="s">
        <v>125</v>
      </c>
      <c r="B11" s="16">
        <f>SUMIF('SuperMarket Sales'!J2:J71,"Large Order", 'SuperMarket Sales'!H2:H71)</f>
        <v>1154.6149999999998</v>
      </c>
    </row>
    <row r="12" spans="1:2" x14ac:dyDescent="0.35">
      <c r="A12" s="17" t="s">
        <v>126</v>
      </c>
      <c r="B12" s="16">
        <f>SUMIF('SuperMarket Sales'!J2:J71,"Small Order", 'SuperMarket Sales'!H2:H71)</f>
        <v>9700.536999999993</v>
      </c>
    </row>
    <row r="13" spans="1:2" x14ac:dyDescent="0.35">
      <c r="A13" s="17" t="s">
        <v>127</v>
      </c>
      <c r="B13">
        <f>COUNTIF('SuperMarket Sales'!J2:J71,"Large Order")</f>
        <v>7</v>
      </c>
    </row>
    <row r="14" spans="1:2" x14ac:dyDescent="0.35">
      <c r="A14" s="17" t="s">
        <v>128</v>
      </c>
      <c r="B14">
        <f>COUNTIF('SuperMarket Sales'!J2:J71,"Small Order")</f>
        <v>63</v>
      </c>
    </row>
    <row r="15" spans="1:2" ht="42.5" x14ac:dyDescent="0.35">
      <c r="A15" s="18" t="s">
        <v>129</v>
      </c>
      <c r="B15" s="16">
        <f>SUMIFS('SuperMarket Sales'!H2:H71,'SuperMarket Sales'!F2:F71,"&gt;=5",'SuperMarket Sales'!H2:H71,"&gt;$100")</f>
        <v>1154.6149999999998</v>
      </c>
    </row>
    <row r="16" spans="1:2" x14ac:dyDescent="0.35">
      <c r="A16" s="17" t="s">
        <v>130</v>
      </c>
      <c r="B16" s="21">
        <f>COUNTIF('SuperMarket Sales'!J2:J71,"Large Order")/COUNTA('SuperMarket Sales'!A2:A71)</f>
        <v>0.1</v>
      </c>
    </row>
    <row r="17" spans="1:2" x14ac:dyDescent="0.35">
      <c r="A17" s="17" t="s">
        <v>131</v>
      </c>
      <c r="B17" s="15">
        <f>AVERAGE('SuperMarket Sales'!F2:F71)</f>
        <v>2.4</v>
      </c>
    </row>
    <row r="18" spans="1:2" x14ac:dyDescent="0.35">
      <c r="A18" s="17" t="s">
        <v>133</v>
      </c>
      <c r="B18" s="16">
        <f>SUMIF('SuperMarket Sales'!K2:K71,"January",'SuperMarket Sales'!H2:H71)</f>
        <v>9601.3719999999921</v>
      </c>
    </row>
    <row r="19" spans="1:2" x14ac:dyDescent="0.35">
      <c r="A19" s="17" t="s">
        <v>134</v>
      </c>
      <c r="B19" s="16">
        <f>SUMIF('SuperMarket Sales'!K2:K71,"February",'SuperMarket Sales'!H2:H71)</f>
        <v>1253.78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9BA2-BD8C-4A3F-94B6-D6F9DED46DD9}">
  <dimension ref="A3:B6"/>
  <sheetViews>
    <sheetView workbookViewId="0">
      <selection activeCell="A9" sqref="A9"/>
    </sheetView>
  </sheetViews>
  <sheetFormatPr defaultRowHeight="14.5" x14ac:dyDescent="0.35"/>
  <cols>
    <col min="1" max="1" width="12.453125" bestFit="1" customWidth="1"/>
    <col min="2" max="2" width="16.453125" bestFit="1" customWidth="1"/>
  </cols>
  <sheetData>
    <row r="3" spans="1:2" x14ac:dyDescent="0.35">
      <c r="A3" s="22" t="s">
        <v>135</v>
      </c>
      <c r="B3" t="s">
        <v>139</v>
      </c>
    </row>
    <row r="4" spans="1:2" x14ac:dyDescent="0.35">
      <c r="A4" s="23" t="s">
        <v>136</v>
      </c>
      <c r="B4" s="16">
        <v>9601.3719999999921</v>
      </c>
    </row>
    <row r="5" spans="1:2" x14ac:dyDescent="0.35">
      <c r="A5" s="23" t="s">
        <v>137</v>
      </c>
      <c r="B5" s="16">
        <v>1253.78</v>
      </c>
    </row>
    <row r="6" spans="1:2" x14ac:dyDescent="0.35">
      <c r="A6" s="23" t="s">
        <v>138</v>
      </c>
      <c r="B6" s="16">
        <v>10855.151999999993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F181-4F77-423C-831D-D33908E1ADAC}">
  <dimension ref="A3:B55"/>
  <sheetViews>
    <sheetView zoomScale="86" zoomScaleNormal="86" workbookViewId="0">
      <selection activeCell="H1" sqref="H1"/>
    </sheetView>
  </sheetViews>
  <sheetFormatPr defaultRowHeight="14.5" x14ac:dyDescent="0.35"/>
  <cols>
    <col min="1" max="1" width="18.81640625" bestFit="1" customWidth="1"/>
    <col min="2" max="2" width="16.453125" bestFit="1" customWidth="1"/>
  </cols>
  <sheetData>
    <row r="3" spans="1:2" x14ac:dyDescent="0.35">
      <c r="A3" s="22" t="s">
        <v>135</v>
      </c>
      <c r="B3" t="s">
        <v>139</v>
      </c>
    </row>
    <row r="4" spans="1:2" x14ac:dyDescent="0.35">
      <c r="A4" s="23" t="s">
        <v>10</v>
      </c>
      <c r="B4" s="16">
        <v>32.988999999999997</v>
      </c>
    </row>
    <row r="5" spans="1:2" x14ac:dyDescent="0.35">
      <c r="A5" s="23" t="s">
        <v>40</v>
      </c>
      <c r="B5" s="16">
        <v>87.955999999999989</v>
      </c>
    </row>
    <row r="6" spans="1:2" x14ac:dyDescent="0.35">
      <c r="A6" s="23" t="s">
        <v>23</v>
      </c>
      <c r="B6" s="16">
        <v>87.955999999999989</v>
      </c>
    </row>
    <row r="7" spans="1:2" x14ac:dyDescent="0.35">
      <c r="A7" s="23" t="s">
        <v>17</v>
      </c>
      <c r="B7" s="16">
        <v>98.98899999999999</v>
      </c>
    </row>
    <row r="8" spans="1:2" x14ac:dyDescent="0.35">
      <c r="A8" s="23" t="s">
        <v>9</v>
      </c>
      <c r="B8" s="16">
        <v>109.97800000000001</v>
      </c>
    </row>
    <row r="9" spans="1:2" x14ac:dyDescent="0.35">
      <c r="A9" s="23" t="s">
        <v>43</v>
      </c>
      <c r="B9" s="16">
        <v>131.96699999999998</v>
      </c>
    </row>
    <row r="10" spans="1:2" x14ac:dyDescent="0.35">
      <c r="A10" s="23" t="s">
        <v>26</v>
      </c>
      <c r="B10" s="16">
        <v>131.96699999999998</v>
      </c>
    </row>
    <row r="11" spans="1:2" x14ac:dyDescent="0.35">
      <c r="A11" s="23" t="s">
        <v>15</v>
      </c>
      <c r="B11" s="16">
        <v>131.96699999999998</v>
      </c>
    </row>
    <row r="12" spans="1:2" x14ac:dyDescent="0.35">
      <c r="A12" s="23" t="s">
        <v>34</v>
      </c>
      <c r="B12" s="16">
        <v>131.96699999999998</v>
      </c>
    </row>
    <row r="13" spans="1:2" x14ac:dyDescent="0.35">
      <c r="A13" s="23" t="s">
        <v>39</v>
      </c>
      <c r="B13" s="16">
        <v>142.989</v>
      </c>
    </row>
    <row r="14" spans="1:2" x14ac:dyDescent="0.35">
      <c r="A14" s="23" t="s">
        <v>31</v>
      </c>
      <c r="B14" s="16">
        <v>142.989</v>
      </c>
    </row>
    <row r="15" spans="1:2" x14ac:dyDescent="0.35">
      <c r="A15" s="23" t="s">
        <v>22</v>
      </c>
      <c r="B15" s="16">
        <v>142.989</v>
      </c>
    </row>
    <row r="16" spans="1:2" x14ac:dyDescent="0.35">
      <c r="A16" s="23" t="s">
        <v>42</v>
      </c>
      <c r="B16" s="16">
        <v>153.97799999999998</v>
      </c>
    </row>
    <row r="17" spans="1:2" x14ac:dyDescent="0.35">
      <c r="A17" s="23" t="s">
        <v>16</v>
      </c>
      <c r="B17" s="16">
        <v>153.97799999999998</v>
      </c>
    </row>
    <row r="18" spans="1:2" x14ac:dyDescent="0.35">
      <c r="A18" s="23" t="s">
        <v>25</v>
      </c>
      <c r="B18" s="16">
        <v>153.97799999999998</v>
      </c>
    </row>
    <row r="19" spans="1:2" x14ac:dyDescent="0.35">
      <c r="A19" s="23" t="s">
        <v>33</v>
      </c>
      <c r="B19" s="16">
        <v>153.97799999999998</v>
      </c>
    </row>
    <row r="20" spans="1:2" x14ac:dyDescent="0.35">
      <c r="A20" s="23" t="s">
        <v>58</v>
      </c>
      <c r="B20" s="16">
        <v>164.94499999999999</v>
      </c>
    </row>
    <row r="21" spans="1:2" x14ac:dyDescent="0.35">
      <c r="A21" s="23" t="s">
        <v>45</v>
      </c>
      <c r="B21" s="16">
        <v>164.94499999999999</v>
      </c>
    </row>
    <row r="22" spans="1:2" x14ac:dyDescent="0.35">
      <c r="A22" s="23" t="s">
        <v>19</v>
      </c>
      <c r="B22" s="16">
        <v>164.94499999999999</v>
      </c>
    </row>
    <row r="23" spans="1:2" x14ac:dyDescent="0.35">
      <c r="A23" s="23" t="s">
        <v>36</v>
      </c>
      <c r="B23" s="16">
        <v>164.94499999999999</v>
      </c>
    </row>
    <row r="24" spans="1:2" x14ac:dyDescent="0.35">
      <c r="A24" s="23" t="s">
        <v>30</v>
      </c>
      <c r="B24" s="16">
        <v>164.96699999999998</v>
      </c>
    </row>
    <row r="25" spans="1:2" x14ac:dyDescent="0.35">
      <c r="A25" s="23" t="s">
        <v>21</v>
      </c>
      <c r="B25" s="16">
        <v>164.96699999999998</v>
      </c>
    </row>
    <row r="26" spans="1:2" x14ac:dyDescent="0.35">
      <c r="A26" s="23" t="s">
        <v>38</v>
      </c>
      <c r="B26" s="16">
        <v>164.96699999999998</v>
      </c>
    </row>
    <row r="27" spans="1:2" x14ac:dyDescent="0.35">
      <c r="A27" s="23" t="s">
        <v>24</v>
      </c>
      <c r="B27" s="16">
        <v>164.989</v>
      </c>
    </row>
    <row r="28" spans="1:2" x14ac:dyDescent="0.35">
      <c r="A28" s="23" t="s">
        <v>41</v>
      </c>
      <c r="B28" s="16">
        <v>164.989</v>
      </c>
    </row>
    <row r="29" spans="1:2" x14ac:dyDescent="0.35">
      <c r="A29" s="23" t="s">
        <v>14</v>
      </c>
      <c r="B29" s="16">
        <v>175.97799999999998</v>
      </c>
    </row>
    <row r="30" spans="1:2" x14ac:dyDescent="0.35">
      <c r="A30" s="23" t="s">
        <v>20</v>
      </c>
      <c r="B30" s="16">
        <v>175.97799999999998</v>
      </c>
    </row>
    <row r="31" spans="1:2" x14ac:dyDescent="0.35">
      <c r="A31" s="23" t="s">
        <v>29</v>
      </c>
      <c r="B31" s="16">
        <v>175.97799999999998</v>
      </c>
    </row>
    <row r="32" spans="1:2" x14ac:dyDescent="0.35">
      <c r="A32" s="23" t="s">
        <v>59</v>
      </c>
      <c r="B32" s="16">
        <v>175.97799999999998</v>
      </c>
    </row>
    <row r="33" spans="1:2" x14ac:dyDescent="0.35">
      <c r="A33" s="23" t="s">
        <v>37</v>
      </c>
      <c r="B33" s="16">
        <v>175.97799999999998</v>
      </c>
    </row>
    <row r="34" spans="1:2" x14ac:dyDescent="0.35">
      <c r="A34" s="23" t="s">
        <v>18</v>
      </c>
      <c r="B34" s="16">
        <v>219.989</v>
      </c>
    </row>
    <row r="35" spans="1:2" x14ac:dyDescent="0.35">
      <c r="A35" s="23" t="s">
        <v>35</v>
      </c>
      <c r="B35" s="16">
        <v>219.989</v>
      </c>
    </row>
    <row r="36" spans="1:2" x14ac:dyDescent="0.35">
      <c r="A36" s="23" t="s">
        <v>44</v>
      </c>
      <c r="B36" s="16">
        <v>219.989</v>
      </c>
    </row>
    <row r="37" spans="1:2" x14ac:dyDescent="0.35">
      <c r="A37" s="23" t="s">
        <v>57</v>
      </c>
      <c r="B37" s="16">
        <v>219.989</v>
      </c>
    </row>
    <row r="38" spans="1:2" x14ac:dyDescent="0.35">
      <c r="A38" s="23" t="s">
        <v>27</v>
      </c>
      <c r="B38" s="16">
        <v>219.989</v>
      </c>
    </row>
    <row r="39" spans="1:2" x14ac:dyDescent="0.35">
      <c r="A39" s="23" t="s">
        <v>55</v>
      </c>
      <c r="B39" s="16">
        <v>241.93399999999997</v>
      </c>
    </row>
    <row r="40" spans="1:2" x14ac:dyDescent="0.35">
      <c r="A40" s="23" t="s">
        <v>46</v>
      </c>
      <c r="B40" s="16">
        <v>252.92299999999997</v>
      </c>
    </row>
    <row r="41" spans="1:2" x14ac:dyDescent="0.35">
      <c r="A41" s="23" t="s">
        <v>53</v>
      </c>
      <c r="B41" s="16">
        <v>252.92299999999997</v>
      </c>
    </row>
    <row r="42" spans="1:2" x14ac:dyDescent="0.35">
      <c r="A42" s="23" t="s">
        <v>32</v>
      </c>
      <c r="B42" s="16">
        <v>252.92299999999997</v>
      </c>
    </row>
    <row r="43" spans="1:2" x14ac:dyDescent="0.35">
      <c r="A43" s="23" t="s">
        <v>49</v>
      </c>
      <c r="B43" s="16">
        <v>296.91199999999998</v>
      </c>
    </row>
    <row r="44" spans="1:2" x14ac:dyDescent="0.35">
      <c r="A44" s="23" t="s">
        <v>48</v>
      </c>
      <c r="B44" s="16">
        <v>296.95600000000002</v>
      </c>
    </row>
    <row r="45" spans="1:2" x14ac:dyDescent="0.35">
      <c r="A45" s="23" t="s">
        <v>56</v>
      </c>
      <c r="B45" s="16">
        <v>296.95600000000002</v>
      </c>
    </row>
    <row r="46" spans="1:2" x14ac:dyDescent="0.35">
      <c r="A46" s="23" t="s">
        <v>47</v>
      </c>
      <c r="B46" s="16">
        <v>307.97800000000001</v>
      </c>
    </row>
    <row r="47" spans="1:2" x14ac:dyDescent="0.35">
      <c r="A47" s="23" t="s">
        <v>54</v>
      </c>
      <c r="B47" s="16">
        <v>307.97800000000001</v>
      </c>
    </row>
    <row r="48" spans="1:2" x14ac:dyDescent="0.35">
      <c r="A48" s="23" t="s">
        <v>52</v>
      </c>
      <c r="B48" s="16">
        <v>318.96699999999998</v>
      </c>
    </row>
    <row r="49" spans="1:2" x14ac:dyDescent="0.35">
      <c r="A49" s="23" t="s">
        <v>12</v>
      </c>
      <c r="B49" s="16">
        <v>329.89</v>
      </c>
    </row>
    <row r="50" spans="1:2" x14ac:dyDescent="0.35">
      <c r="A50" s="23" t="s">
        <v>51</v>
      </c>
      <c r="B50" s="16">
        <v>329.91199999999998</v>
      </c>
    </row>
    <row r="51" spans="1:2" x14ac:dyDescent="0.35">
      <c r="A51" s="23" t="s">
        <v>50</v>
      </c>
      <c r="B51" s="16">
        <v>395.96699999999998</v>
      </c>
    </row>
    <row r="52" spans="1:2" x14ac:dyDescent="0.35">
      <c r="A52" s="23" t="s">
        <v>13</v>
      </c>
      <c r="B52" s="16">
        <v>472.96699999999998</v>
      </c>
    </row>
    <row r="53" spans="1:2" x14ac:dyDescent="0.35">
      <c r="A53" s="23" t="s">
        <v>11</v>
      </c>
      <c r="B53" s="16">
        <v>505.94499999999994</v>
      </c>
    </row>
    <row r="54" spans="1:2" x14ac:dyDescent="0.35">
      <c r="A54" s="23" t="s">
        <v>28</v>
      </c>
      <c r="B54" s="16">
        <v>538.91199999999992</v>
      </c>
    </row>
    <row r="55" spans="1:2" x14ac:dyDescent="0.35">
      <c r="A55" s="23" t="s">
        <v>138</v>
      </c>
      <c r="B55" s="16">
        <v>10855.151999999996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DDD2-AC98-4A93-979B-247621693EB2}">
  <dimension ref="A1:B4"/>
  <sheetViews>
    <sheetView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6.453125" bestFit="1" customWidth="1"/>
  </cols>
  <sheetData>
    <row r="1" spans="1:2" x14ac:dyDescent="0.35">
      <c r="A1" s="22" t="s">
        <v>135</v>
      </c>
      <c r="B1" t="s">
        <v>139</v>
      </c>
    </row>
    <row r="2" spans="1:2" x14ac:dyDescent="0.35">
      <c r="A2" s="23" t="s">
        <v>140</v>
      </c>
      <c r="B2" s="16">
        <v>1154.6149999999998</v>
      </c>
    </row>
    <row r="3" spans="1:2" x14ac:dyDescent="0.35">
      <c r="A3" s="23" t="s">
        <v>141</v>
      </c>
      <c r="B3" s="16">
        <v>9700.536999999993</v>
      </c>
    </row>
    <row r="4" spans="1:2" x14ac:dyDescent="0.35">
      <c r="A4" s="23" t="s">
        <v>138</v>
      </c>
      <c r="B4" s="16">
        <v>10855.151999999993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39EF-CA99-4C8E-AFD9-748E8EA94C35}">
  <dimension ref="A3:B9"/>
  <sheetViews>
    <sheetView workbookViewId="0">
      <selection activeCell="L15" sqref="L15"/>
    </sheetView>
  </sheetViews>
  <sheetFormatPr defaultRowHeight="14.5" x14ac:dyDescent="0.35"/>
  <cols>
    <col min="1" max="1" width="12.453125" bestFit="1" customWidth="1"/>
    <col min="2" max="2" width="16.453125" bestFit="1" customWidth="1"/>
  </cols>
  <sheetData>
    <row r="3" spans="1:2" x14ac:dyDescent="0.35">
      <c r="A3" s="22" t="s">
        <v>135</v>
      </c>
      <c r="B3" t="s">
        <v>139</v>
      </c>
    </row>
    <row r="4" spans="1:2" x14ac:dyDescent="0.35">
      <c r="A4" s="24">
        <v>1</v>
      </c>
      <c r="B4" s="16">
        <v>3992.7360000000003</v>
      </c>
    </row>
    <row r="5" spans="1:2" x14ac:dyDescent="0.35">
      <c r="A5" s="24">
        <v>2</v>
      </c>
      <c r="B5" s="16">
        <v>2595.6480000000001</v>
      </c>
    </row>
    <row r="6" spans="1:2" x14ac:dyDescent="0.35">
      <c r="A6" s="24">
        <v>3</v>
      </c>
      <c r="B6" s="16">
        <v>2408.5050000000006</v>
      </c>
    </row>
    <row r="7" spans="1:2" x14ac:dyDescent="0.35">
      <c r="A7" s="24">
        <v>4</v>
      </c>
      <c r="B7" s="16">
        <v>703.64800000000002</v>
      </c>
    </row>
    <row r="8" spans="1:2" x14ac:dyDescent="0.35">
      <c r="A8" s="24">
        <v>5</v>
      </c>
      <c r="B8" s="16">
        <v>1154.6149999999998</v>
      </c>
    </row>
    <row r="9" spans="1:2" x14ac:dyDescent="0.35">
      <c r="A9" s="24" t="s">
        <v>138</v>
      </c>
      <c r="B9" s="16">
        <v>10855.152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CF48-830C-495F-B3D6-6182553C61E6}">
  <dimension ref="A3:B9"/>
  <sheetViews>
    <sheetView workbookViewId="0">
      <selection activeCell="B11" sqref="B11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22" t="s">
        <v>135</v>
      </c>
      <c r="B3" t="s">
        <v>142</v>
      </c>
    </row>
    <row r="4" spans="1:2" x14ac:dyDescent="0.35">
      <c r="A4" s="23">
        <v>1</v>
      </c>
      <c r="B4" s="25">
        <v>16619</v>
      </c>
    </row>
    <row r="5" spans="1:2" x14ac:dyDescent="0.35">
      <c r="A5" s="23">
        <v>2</v>
      </c>
      <c r="B5" s="25">
        <v>14536</v>
      </c>
    </row>
    <row r="6" spans="1:2" x14ac:dyDescent="0.35">
      <c r="A6" s="23">
        <v>3</v>
      </c>
      <c r="B6" s="25">
        <v>13447</v>
      </c>
    </row>
    <row r="7" spans="1:2" x14ac:dyDescent="0.35">
      <c r="A7" s="23">
        <v>4</v>
      </c>
      <c r="B7" s="25">
        <v>15621</v>
      </c>
    </row>
    <row r="8" spans="1:2" x14ac:dyDescent="0.35">
      <c r="A8" s="23">
        <v>5</v>
      </c>
      <c r="B8" s="25">
        <v>12262</v>
      </c>
    </row>
    <row r="9" spans="1:2" x14ac:dyDescent="0.35">
      <c r="A9" s="23" t="s">
        <v>138</v>
      </c>
      <c r="B9" s="25">
        <v>72485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5BD8-D791-4D23-81A3-031E9F15F251}">
  <dimension ref="A1:E20"/>
  <sheetViews>
    <sheetView workbookViewId="0">
      <selection sqref="A1:E1"/>
    </sheetView>
  </sheetViews>
  <sheetFormatPr defaultRowHeight="14.5" x14ac:dyDescent="0.35"/>
  <cols>
    <col min="1" max="1" width="19.6328125" bestFit="1" customWidth="1"/>
    <col min="2" max="2" width="32.54296875" customWidth="1"/>
    <col min="3" max="3" width="39.453125" customWidth="1"/>
    <col min="4" max="4" width="26.1796875" customWidth="1"/>
    <col min="5" max="5" width="29" customWidth="1"/>
  </cols>
  <sheetData>
    <row r="1" spans="1:5" ht="17.5" x14ac:dyDescent="0.35">
      <c r="A1" s="32" t="s">
        <v>112</v>
      </c>
      <c r="B1" s="33"/>
      <c r="C1" s="33"/>
      <c r="D1" s="33"/>
      <c r="E1" s="33"/>
    </row>
    <row r="2" spans="1:5" s="7" customFormat="1" ht="14" x14ac:dyDescent="0.3">
      <c r="A2" s="7" t="s">
        <v>60</v>
      </c>
      <c r="B2" s="7" t="s">
        <v>61</v>
      </c>
      <c r="C2" s="7" t="s">
        <v>62</v>
      </c>
      <c r="D2" s="7" t="s">
        <v>63</v>
      </c>
      <c r="E2" s="7" t="s">
        <v>64</v>
      </c>
    </row>
    <row r="3" spans="1:5" x14ac:dyDescent="0.35">
      <c r="A3" t="s">
        <v>65</v>
      </c>
      <c r="B3" t="s">
        <v>66</v>
      </c>
      <c r="C3" t="s">
        <v>96</v>
      </c>
      <c r="D3" t="s">
        <v>67</v>
      </c>
      <c r="E3" t="s">
        <v>68</v>
      </c>
    </row>
    <row r="4" spans="1:5" x14ac:dyDescent="0.35">
      <c r="A4" t="s">
        <v>69</v>
      </c>
      <c r="B4" t="s">
        <v>70</v>
      </c>
      <c r="C4" t="s">
        <v>71</v>
      </c>
      <c r="D4" t="s">
        <v>67</v>
      </c>
      <c r="E4" t="s">
        <v>68</v>
      </c>
    </row>
    <row r="5" spans="1:5" x14ac:dyDescent="0.35">
      <c r="A5" t="s">
        <v>72</v>
      </c>
      <c r="B5" t="s">
        <v>73</v>
      </c>
      <c r="C5" t="s">
        <v>74</v>
      </c>
      <c r="D5" t="s">
        <v>75</v>
      </c>
      <c r="E5" t="s">
        <v>76</v>
      </c>
    </row>
    <row r="6" spans="1:5" x14ac:dyDescent="0.35">
      <c r="A6" t="s">
        <v>77</v>
      </c>
      <c r="B6" t="s">
        <v>78</v>
      </c>
      <c r="C6" t="s">
        <v>79</v>
      </c>
      <c r="D6" t="s">
        <v>67</v>
      </c>
      <c r="E6" t="s">
        <v>68</v>
      </c>
    </row>
    <row r="7" spans="1:5" x14ac:dyDescent="0.35">
      <c r="A7" t="s">
        <v>80</v>
      </c>
      <c r="B7" t="s">
        <v>1</v>
      </c>
      <c r="C7" t="s">
        <v>79</v>
      </c>
      <c r="D7" t="s">
        <v>67</v>
      </c>
      <c r="E7" t="s">
        <v>68</v>
      </c>
    </row>
    <row r="8" spans="1:5" x14ac:dyDescent="0.35">
      <c r="A8" t="s">
        <v>81</v>
      </c>
      <c r="B8" t="s">
        <v>82</v>
      </c>
      <c r="C8" t="s">
        <v>83</v>
      </c>
      <c r="D8" t="s">
        <v>67</v>
      </c>
      <c r="E8" t="s">
        <v>68</v>
      </c>
    </row>
    <row r="9" spans="1:5" x14ac:dyDescent="0.35">
      <c r="A9" t="s">
        <v>84</v>
      </c>
      <c r="B9" t="s">
        <v>85</v>
      </c>
      <c r="C9" t="s">
        <v>86</v>
      </c>
      <c r="D9" t="s">
        <v>67</v>
      </c>
      <c r="E9" t="s">
        <v>68</v>
      </c>
    </row>
    <row r="10" spans="1:5" x14ac:dyDescent="0.35">
      <c r="A10" t="s">
        <v>87</v>
      </c>
      <c r="B10" t="s">
        <v>88</v>
      </c>
      <c r="C10" t="s">
        <v>89</v>
      </c>
      <c r="D10" t="s">
        <v>67</v>
      </c>
      <c r="E10" t="s">
        <v>68</v>
      </c>
    </row>
    <row r="11" spans="1:5" x14ac:dyDescent="0.35">
      <c r="A11" t="s">
        <v>6</v>
      </c>
      <c r="B11" t="s">
        <v>88</v>
      </c>
      <c r="C11" t="s">
        <v>89</v>
      </c>
      <c r="D11" t="s">
        <v>67</v>
      </c>
      <c r="E11" t="s">
        <v>68</v>
      </c>
    </row>
    <row r="12" spans="1:5" x14ac:dyDescent="0.35">
      <c r="A12" t="s">
        <v>0</v>
      </c>
      <c r="B12" t="s">
        <v>88</v>
      </c>
      <c r="C12" t="s">
        <v>89</v>
      </c>
      <c r="D12" t="s">
        <v>67</v>
      </c>
      <c r="E12" t="s">
        <v>68</v>
      </c>
    </row>
    <row r="13" spans="1:5" x14ac:dyDescent="0.35">
      <c r="A13" t="s">
        <v>90</v>
      </c>
      <c r="B13" t="s">
        <v>88</v>
      </c>
      <c r="C13" t="s">
        <v>89</v>
      </c>
      <c r="D13" t="s">
        <v>67</v>
      </c>
      <c r="E13" t="s">
        <v>68</v>
      </c>
    </row>
    <row r="14" spans="1:5" x14ac:dyDescent="0.35">
      <c r="A14" t="s">
        <v>91</v>
      </c>
      <c r="B14" t="s">
        <v>92</v>
      </c>
      <c r="C14" t="s">
        <v>93</v>
      </c>
      <c r="D14" t="s">
        <v>67</v>
      </c>
      <c r="E14" t="s">
        <v>68</v>
      </c>
    </row>
    <row r="15" spans="1:5" x14ac:dyDescent="0.35">
      <c r="A15" t="s">
        <v>94</v>
      </c>
      <c r="B15" t="s">
        <v>95</v>
      </c>
      <c r="C15" t="s">
        <v>97</v>
      </c>
      <c r="D15" t="s">
        <v>67</v>
      </c>
      <c r="E15" t="s">
        <v>68</v>
      </c>
    </row>
    <row r="16" spans="1:5" x14ac:dyDescent="0.35">
      <c r="A16" t="s">
        <v>99</v>
      </c>
      <c r="B16" t="s">
        <v>100</v>
      </c>
      <c r="C16" t="s">
        <v>101</v>
      </c>
      <c r="D16" t="s">
        <v>67</v>
      </c>
      <c r="E16" t="s">
        <v>68</v>
      </c>
    </row>
    <row r="17" spans="1:5" ht="29" x14ac:dyDescent="0.35">
      <c r="A17" t="s">
        <v>102</v>
      </c>
      <c r="B17" s="8" t="s">
        <v>105</v>
      </c>
      <c r="C17" t="s">
        <v>103</v>
      </c>
      <c r="D17" t="s">
        <v>67</v>
      </c>
      <c r="E17" t="s">
        <v>68</v>
      </c>
    </row>
    <row r="18" spans="1:5" x14ac:dyDescent="0.35">
      <c r="A18" t="s">
        <v>104</v>
      </c>
      <c r="B18" t="s">
        <v>106</v>
      </c>
      <c r="C18" t="s">
        <v>103</v>
      </c>
      <c r="D18" t="s">
        <v>67</v>
      </c>
      <c r="E18" t="s">
        <v>68</v>
      </c>
    </row>
    <row r="19" spans="1:5" ht="29" x14ac:dyDescent="0.35">
      <c r="A19" t="s">
        <v>107</v>
      </c>
      <c r="B19" s="8" t="s">
        <v>108</v>
      </c>
      <c r="C19" t="s">
        <v>103</v>
      </c>
      <c r="D19" t="s">
        <v>67</v>
      </c>
      <c r="E19" t="s">
        <v>68</v>
      </c>
    </row>
    <row r="20" spans="1:5" x14ac:dyDescent="0.35">
      <c r="A20" t="s">
        <v>109</v>
      </c>
      <c r="B20" t="s">
        <v>110</v>
      </c>
      <c r="C20" t="s">
        <v>111</v>
      </c>
      <c r="D20" t="s">
        <v>67</v>
      </c>
      <c r="E20" t="s">
        <v>68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A1:K73"/>
  <sheetViews>
    <sheetView tabSelected="1" topLeftCell="B1" workbookViewId="0">
      <selection activeCell="F13" sqref="F13"/>
    </sheetView>
  </sheetViews>
  <sheetFormatPr defaultColWidth="8.90625" defaultRowHeight="14.5" x14ac:dyDescent="0.35"/>
  <cols>
    <col min="1" max="1" width="13.81640625" style="1" bestFit="1" customWidth="1"/>
    <col min="2" max="2" width="15.453125" style="1" bestFit="1" customWidth="1"/>
    <col min="3" max="3" width="20.26953125" style="1" bestFit="1" customWidth="1"/>
    <col min="4" max="4" width="14" style="1" bestFit="1" customWidth="1"/>
    <col min="5" max="5" width="21.26953125" style="1" bestFit="1" customWidth="1"/>
    <col min="6" max="6" width="19.1796875" style="1" bestFit="1" customWidth="1"/>
    <col min="7" max="7" width="14.08984375" style="1" bestFit="1" customWidth="1"/>
    <col min="8" max="8" width="15.54296875" style="1" bestFit="1" customWidth="1"/>
    <col min="9" max="9" width="18.08984375" style="1" bestFit="1" customWidth="1"/>
    <col min="10" max="10" width="23.453125" style="1" bestFit="1" customWidth="1"/>
    <col min="11" max="11" width="17.453125" style="1" bestFit="1" customWidth="1"/>
    <col min="12" max="16384" width="8.90625" style="1"/>
  </cols>
  <sheetData>
    <row r="1" spans="1:11" ht="15.5" x14ac:dyDescent="0.35">
      <c r="A1" s="1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98</v>
      </c>
      <c r="J1" s="3" t="s">
        <v>122</v>
      </c>
      <c r="K1" s="3" t="s">
        <v>132</v>
      </c>
    </row>
    <row r="2" spans="1:11" x14ac:dyDescent="0.35">
      <c r="A2" s="13">
        <v>1001</v>
      </c>
      <c r="B2" s="5">
        <v>45292</v>
      </c>
      <c r="C2" s="9" t="s">
        <v>9</v>
      </c>
      <c r="D2" s="5">
        <v>45294</v>
      </c>
      <c r="E2" s="10">
        <v>49.99</v>
      </c>
      <c r="F2" s="11">
        <v>2</v>
      </c>
      <c r="G2" s="10">
        <f>E2*F2*10%</f>
        <v>9.9980000000000011</v>
      </c>
      <c r="H2" s="10">
        <f t="shared" ref="H2:H33" si="0">E2*F2+G2</f>
        <v>109.97800000000001</v>
      </c>
      <c r="I2" s="1">
        <f t="shared" ref="I2:I33" si="1">D2-B2</f>
        <v>2</v>
      </c>
      <c r="J2" s="19" t="str">
        <f>IF('SuperMarket Sales'!F2&gt;=5, "Large Order", "Small Order")</f>
        <v>Small Order</v>
      </c>
      <c r="K2" s="19" t="str">
        <f t="shared" ref="K2:K33" si="2">TEXT(B2,"mmmm")</f>
        <v>January</v>
      </c>
    </row>
    <row r="3" spans="1:11" x14ac:dyDescent="0.35">
      <c r="A3" s="13">
        <v>1002</v>
      </c>
      <c r="B3" s="5">
        <v>45292</v>
      </c>
      <c r="C3" s="4" t="s">
        <v>10</v>
      </c>
      <c r="D3" s="5">
        <v>45295</v>
      </c>
      <c r="E3" s="10">
        <v>29.99</v>
      </c>
      <c r="F3" s="11">
        <v>1</v>
      </c>
      <c r="G3" s="10">
        <f t="shared" ref="G3:G66" si="3">E3*F3*10%</f>
        <v>2.9990000000000001</v>
      </c>
      <c r="H3" s="10">
        <f t="shared" si="0"/>
        <v>32.988999999999997</v>
      </c>
      <c r="I3" s="1">
        <f t="shared" si="1"/>
        <v>3</v>
      </c>
      <c r="J3" s="10" t="str">
        <f>IF('SuperMarket Sales'!F3&gt;=5, "Large Order", "Small Order")</f>
        <v>Small Order</v>
      </c>
      <c r="K3" s="10" t="str">
        <f t="shared" si="2"/>
        <v>January</v>
      </c>
    </row>
    <row r="4" spans="1:11" x14ac:dyDescent="0.35">
      <c r="A4" s="13">
        <v>1003</v>
      </c>
      <c r="B4" s="5">
        <v>45293</v>
      </c>
      <c r="C4" s="4" t="s">
        <v>11</v>
      </c>
      <c r="D4" s="5">
        <v>45298</v>
      </c>
      <c r="E4" s="10">
        <v>99.99</v>
      </c>
      <c r="F4" s="11">
        <v>3</v>
      </c>
      <c r="G4" s="10">
        <f t="shared" si="3"/>
        <v>29.997</v>
      </c>
      <c r="H4" s="10">
        <f t="shared" si="0"/>
        <v>329.96699999999998</v>
      </c>
      <c r="I4" s="1">
        <f t="shared" si="1"/>
        <v>5</v>
      </c>
      <c r="J4" s="10" t="str">
        <f>IF('SuperMarket Sales'!F4&gt;=5, "Large Order", "Small Order")</f>
        <v>Small Order</v>
      </c>
      <c r="K4" s="10" t="str">
        <f t="shared" si="2"/>
        <v>January</v>
      </c>
    </row>
    <row r="5" spans="1:11" x14ac:dyDescent="0.35">
      <c r="A5" s="13">
        <v>1004</v>
      </c>
      <c r="B5" s="5">
        <v>45293</v>
      </c>
      <c r="C5" s="4" t="s">
        <v>12</v>
      </c>
      <c r="D5" s="5">
        <v>45294</v>
      </c>
      <c r="E5" s="10">
        <v>19.989999999999998</v>
      </c>
      <c r="F5" s="11">
        <v>4</v>
      </c>
      <c r="G5" s="10">
        <f t="shared" si="3"/>
        <v>7.9959999999999996</v>
      </c>
      <c r="H5" s="10">
        <f t="shared" si="0"/>
        <v>87.955999999999989</v>
      </c>
      <c r="I5" s="1">
        <f t="shared" si="1"/>
        <v>1</v>
      </c>
      <c r="J5" s="10" t="str">
        <f>IF('SuperMarket Sales'!F5&gt;=5, "Large Order", "Small Order")</f>
        <v>Small Order</v>
      </c>
      <c r="K5" s="10" t="str">
        <f t="shared" si="2"/>
        <v>January</v>
      </c>
    </row>
    <row r="6" spans="1:11" x14ac:dyDescent="0.35">
      <c r="A6" s="13">
        <v>1005</v>
      </c>
      <c r="B6" s="5">
        <v>45294</v>
      </c>
      <c r="C6" s="4" t="s">
        <v>13</v>
      </c>
      <c r="D6" s="5">
        <v>45299</v>
      </c>
      <c r="E6" s="10">
        <v>149.99</v>
      </c>
      <c r="F6" s="11">
        <v>1</v>
      </c>
      <c r="G6" s="10">
        <f t="shared" si="3"/>
        <v>14.999000000000002</v>
      </c>
      <c r="H6" s="10">
        <f t="shared" si="0"/>
        <v>164.989</v>
      </c>
      <c r="I6" s="1">
        <f t="shared" si="1"/>
        <v>5</v>
      </c>
      <c r="J6" s="10" t="str">
        <f>IF('SuperMarket Sales'!F6&gt;=5, "Large Order", "Small Order")</f>
        <v>Small Order</v>
      </c>
      <c r="K6" s="10" t="str">
        <f t="shared" si="2"/>
        <v>January</v>
      </c>
    </row>
    <row r="7" spans="1:11" x14ac:dyDescent="0.35">
      <c r="A7" s="13">
        <v>1006</v>
      </c>
      <c r="B7" s="5">
        <v>45294</v>
      </c>
      <c r="C7" s="4" t="s">
        <v>14</v>
      </c>
      <c r="D7" s="5">
        <v>45297</v>
      </c>
      <c r="E7" s="10">
        <v>79.989999999999995</v>
      </c>
      <c r="F7" s="11">
        <v>2</v>
      </c>
      <c r="G7" s="10">
        <f t="shared" si="3"/>
        <v>15.997999999999999</v>
      </c>
      <c r="H7" s="10">
        <f t="shared" si="0"/>
        <v>175.97799999999998</v>
      </c>
      <c r="I7" s="1">
        <f t="shared" si="1"/>
        <v>3</v>
      </c>
      <c r="J7" s="10" t="str">
        <f>IF('SuperMarket Sales'!F7&gt;=5, "Large Order", "Small Order")</f>
        <v>Small Order</v>
      </c>
      <c r="K7" s="10" t="str">
        <f t="shared" si="2"/>
        <v>January</v>
      </c>
    </row>
    <row r="8" spans="1:11" x14ac:dyDescent="0.35">
      <c r="A8" s="13">
        <v>1007</v>
      </c>
      <c r="B8" s="5">
        <v>45295</v>
      </c>
      <c r="C8" s="4" t="s">
        <v>15</v>
      </c>
      <c r="D8" s="5">
        <v>45297</v>
      </c>
      <c r="E8" s="10">
        <v>39.99</v>
      </c>
      <c r="F8" s="11">
        <v>3</v>
      </c>
      <c r="G8" s="10">
        <f t="shared" si="3"/>
        <v>11.997</v>
      </c>
      <c r="H8" s="10">
        <f t="shared" si="0"/>
        <v>131.96699999999998</v>
      </c>
      <c r="I8" s="1">
        <f t="shared" si="1"/>
        <v>2</v>
      </c>
      <c r="J8" s="10" t="str">
        <f>IF('SuperMarket Sales'!F8&gt;=5, "Large Order", "Small Order")</f>
        <v>Small Order</v>
      </c>
      <c r="K8" s="10" t="str">
        <f t="shared" si="2"/>
        <v>January</v>
      </c>
    </row>
    <row r="9" spans="1:11" x14ac:dyDescent="0.35">
      <c r="A9" s="13">
        <v>1008</v>
      </c>
      <c r="B9" s="5">
        <v>45295</v>
      </c>
      <c r="C9" s="4" t="s">
        <v>16</v>
      </c>
      <c r="D9" s="5">
        <v>45300</v>
      </c>
      <c r="E9" s="10">
        <v>69.989999999999995</v>
      </c>
      <c r="F9" s="11">
        <v>2</v>
      </c>
      <c r="G9" s="10">
        <f t="shared" si="3"/>
        <v>13.997999999999999</v>
      </c>
      <c r="H9" s="10">
        <f t="shared" si="0"/>
        <v>153.97799999999998</v>
      </c>
      <c r="I9" s="1">
        <f t="shared" si="1"/>
        <v>5</v>
      </c>
      <c r="J9" s="10" t="str">
        <f>IF('SuperMarket Sales'!F9&gt;=5, "Large Order", "Small Order")</f>
        <v>Small Order</v>
      </c>
      <c r="K9" s="10" t="str">
        <f t="shared" si="2"/>
        <v>January</v>
      </c>
    </row>
    <row r="10" spans="1:11" x14ac:dyDescent="0.35">
      <c r="A10" s="13">
        <v>1009</v>
      </c>
      <c r="B10" s="5">
        <v>45296</v>
      </c>
      <c r="C10" s="4" t="s">
        <v>17</v>
      </c>
      <c r="D10" s="5">
        <v>45297</v>
      </c>
      <c r="E10" s="10">
        <v>89.99</v>
      </c>
      <c r="F10" s="11">
        <v>1</v>
      </c>
      <c r="G10" s="10">
        <f t="shared" si="3"/>
        <v>8.9990000000000006</v>
      </c>
      <c r="H10" s="10">
        <f t="shared" si="0"/>
        <v>98.98899999999999</v>
      </c>
      <c r="I10" s="1">
        <f t="shared" si="1"/>
        <v>1</v>
      </c>
      <c r="J10" s="10" t="str">
        <f>IF('SuperMarket Sales'!F10&gt;=5, "Large Order", "Small Order")</f>
        <v>Small Order</v>
      </c>
      <c r="K10" s="10" t="str">
        <f t="shared" si="2"/>
        <v>January</v>
      </c>
    </row>
    <row r="11" spans="1:11" x14ac:dyDescent="0.35">
      <c r="A11" s="13">
        <v>1010</v>
      </c>
      <c r="B11" s="5">
        <v>45296</v>
      </c>
      <c r="C11" s="4" t="s">
        <v>18</v>
      </c>
      <c r="D11" s="5">
        <v>45299</v>
      </c>
      <c r="E11" s="10">
        <v>199.99</v>
      </c>
      <c r="F11" s="11">
        <v>1</v>
      </c>
      <c r="G11" s="10">
        <f t="shared" si="3"/>
        <v>19.999000000000002</v>
      </c>
      <c r="H11" s="10">
        <f t="shared" si="0"/>
        <v>219.989</v>
      </c>
      <c r="I11" s="1">
        <f t="shared" si="1"/>
        <v>3</v>
      </c>
      <c r="J11" s="10" t="str">
        <f>IF('SuperMarket Sales'!F11&gt;=5, "Large Order", "Small Order")</f>
        <v>Small Order</v>
      </c>
      <c r="K11" s="10" t="str">
        <f t="shared" si="2"/>
        <v>January</v>
      </c>
    </row>
    <row r="12" spans="1:11" x14ac:dyDescent="0.35">
      <c r="A12" s="13">
        <v>1011</v>
      </c>
      <c r="B12" s="5">
        <v>45297</v>
      </c>
      <c r="C12" s="4" t="s">
        <v>19</v>
      </c>
      <c r="D12" s="5">
        <v>45298</v>
      </c>
      <c r="E12" s="10">
        <v>29.99</v>
      </c>
      <c r="F12" s="11">
        <v>5</v>
      </c>
      <c r="G12" s="10">
        <f t="shared" si="3"/>
        <v>14.994999999999999</v>
      </c>
      <c r="H12" s="10">
        <f t="shared" si="0"/>
        <v>164.94499999999999</v>
      </c>
      <c r="I12" s="1">
        <f t="shared" si="1"/>
        <v>1</v>
      </c>
      <c r="J12" s="10" t="str">
        <f>IF('SuperMarket Sales'!F12&gt;=5, "Large Order", "Small Order")</f>
        <v>Large Order</v>
      </c>
      <c r="K12" s="10" t="str">
        <f t="shared" si="2"/>
        <v>January</v>
      </c>
    </row>
    <row r="13" spans="1:11" x14ac:dyDescent="0.35">
      <c r="A13" s="13">
        <v>1012</v>
      </c>
      <c r="B13" s="5">
        <v>45297</v>
      </c>
      <c r="C13" s="4" t="s">
        <v>20</v>
      </c>
      <c r="D13" s="5">
        <v>45299</v>
      </c>
      <c r="E13" s="10">
        <v>79.989999999999995</v>
      </c>
      <c r="F13" s="11">
        <v>2</v>
      </c>
      <c r="G13" s="10">
        <f t="shared" si="3"/>
        <v>15.997999999999999</v>
      </c>
      <c r="H13" s="10">
        <f t="shared" si="0"/>
        <v>175.97799999999998</v>
      </c>
      <c r="I13" s="1">
        <f t="shared" si="1"/>
        <v>2</v>
      </c>
      <c r="J13" s="10" t="str">
        <f>IF('SuperMarket Sales'!F13&gt;=5, "Large Order", "Small Order")</f>
        <v>Small Order</v>
      </c>
      <c r="K13" s="10" t="str">
        <f t="shared" si="2"/>
        <v>January</v>
      </c>
    </row>
    <row r="14" spans="1:11" x14ac:dyDescent="0.35">
      <c r="A14" s="13">
        <v>1013</v>
      </c>
      <c r="B14" s="5">
        <v>45298</v>
      </c>
      <c r="C14" s="4" t="s">
        <v>21</v>
      </c>
      <c r="D14" s="5">
        <v>45300</v>
      </c>
      <c r="E14" s="10">
        <v>49.99</v>
      </c>
      <c r="F14" s="11">
        <v>3</v>
      </c>
      <c r="G14" s="10">
        <f t="shared" si="3"/>
        <v>14.997</v>
      </c>
      <c r="H14" s="10">
        <f t="shared" si="0"/>
        <v>164.96699999999998</v>
      </c>
      <c r="I14" s="1">
        <f t="shared" si="1"/>
        <v>2</v>
      </c>
      <c r="J14" s="10" t="str">
        <f>IF('SuperMarket Sales'!F14&gt;=5, "Large Order", "Small Order")</f>
        <v>Small Order</v>
      </c>
      <c r="K14" s="10" t="str">
        <f t="shared" si="2"/>
        <v>January</v>
      </c>
    </row>
    <row r="15" spans="1:11" x14ac:dyDescent="0.35">
      <c r="A15" s="13">
        <v>1014</v>
      </c>
      <c r="B15" s="5">
        <v>45298</v>
      </c>
      <c r="C15" s="4" t="s">
        <v>22</v>
      </c>
      <c r="D15" s="5">
        <v>45303</v>
      </c>
      <c r="E15" s="10">
        <v>129.99</v>
      </c>
      <c r="F15" s="11">
        <v>1</v>
      </c>
      <c r="G15" s="10">
        <f t="shared" si="3"/>
        <v>12.999000000000002</v>
      </c>
      <c r="H15" s="10">
        <f t="shared" si="0"/>
        <v>142.989</v>
      </c>
      <c r="I15" s="1">
        <f t="shared" si="1"/>
        <v>5</v>
      </c>
      <c r="J15" s="10" t="str">
        <f>IF('SuperMarket Sales'!F15&gt;=5, "Large Order", "Small Order")</f>
        <v>Small Order</v>
      </c>
      <c r="K15" s="10" t="str">
        <f t="shared" si="2"/>
        <v>January</v>
      </c>
    </row>
    <row r="16" spans="1:11" x14ac:dyDescent="0.35">
      <c r="A16" s="13">
        <v>1015</v>
      </c>
      <c r="B16" s="5">
        <v>45299</v>
      </c>
      <c r="C16" s="4" t="s">
        <v>23</v>
      </c>
      <c r="D16" s="5">
        <v>45304</v>
      </c>
      <c r="E16" s="10">
        <v>19.989999999999998</v>
      </c>
      <c r="F16" s="11">
        <v>4</v>
      </c>
      <c r="G16" s="10">
        <f t="shared" si="3"/>
        <v>7.9959999999999996</v>
      </c>
      <c r="H16" s="10">
        <f t="shared" si="0"/>
        <v>87.955999999999989</v>
      </c>
      <c r="I16" s="1">
        <f t="shared" si="1"/>
        <v>5</v>
      </c>
      <c r="J16" s="10" t="str">
        <f>IF('SuperMarket Sales'!F16&gt;=5, "Large Order", "Small Order")</f>
        <v>Small Order</v>
      </c>
      <c r="K16" s="10" t="str">
        <f t="shared" si="2"/>
        <v>January</v>
      </c>
    </row>
    <row r="17" spans="1:11" x14ac:dyDescent="0.35">
      <c r="A17" s="13">
        <v>1016</v>
      </c>
      <c r="B17" s="5">
        <v>45299</v>
      </c>
      <c r="C17" s="4" t="s">
        <v>24</v>
      </c>
      <c r="D17" s="5">
        <v>45303</v>
      </c>
      <c r="E17" s="10">
        <v>149.99</v>
      </c>
      <c r="F17" s="11">
        <v>1</v>
      </c>
      <c r="G17" s="10">
        <f t="shared" si="3"/>
        <v>14.999000000000002</v>
      </c>
      <c r="H17" s="10">
        <f t="shared" si="0"/>
        <v>164.989</v>
      </c>
      <c r="I17" s="1">
        <f t="shared" si="1"/>
        <v>4</v>
      </c>
      <c r="J17" s="10" t="str">
        <f>IF('SuperMarket Sales'!F17&gt;=5, "Large Order", "Small Order")</f>
        <v>Small Order</v>
      </c>
      <c r="K17" s="10" t="str">
        <f t="shared" si="2"/>
        <v>January</v>
      </c>
    </row>
    <row r="18" spans="1:11" x14ac:dyDescent="0.35">
      <c r="A18" s="13">
        <v>1017</v>
      </c>
      <c r="B18" s="5">
        <v>45300</v>
      </c>
      <c r="C18" s="4" t="s">
        <v>25</v>
      </c>
      <c r="D18" s="5">
        <v>45305</v>
      </c>
      <c r="E18" s="10">
        <v>69.989999999999995</v>
      </c>
      <c r="F18" s="11">
        <v>2</v>
      </c>
      <c r="G18" s="10">
        <f t="shared" si="3"/>
        <v>13.997999999999999</v>
      </c>
      <c r="H18" s="10">
        <f t="shared" si="0"/>
        <v>153.97799999999998</v>
      </c>
      <c r="I18" s="1">
        <f t="shared" si="1"/>
        <v>5</v>
      </c>
      <c r="J18" s="10" t="str">
        <f>IF('SuperMarket Sales'!F18&gt;=5, "Large Order", "Small Order")</f>
        <v>Small Order</v>
      </c>
      <c r="K18" s="10" t="str">
        <f t="shared" si="2"/>
        <v>January</v>
      </c>
    </row>
    <row r="19" spans="1:11" x14ac:dyDescent="0.35">
      <c r="A19" s="13">
        <v>1018</v>
      </c>
      <c r="B19" s="5">
        <v>45300</v>
      </c>
      <c r="C19" s="4" t="s">
        <v>26</v>
      </c>
      <c r="D19" s="5">
        <v>45303</v>
      </c>
      <c r="E19" s="10">
        <v>39.99</v>
      </c>
      <c r="F19" s="11">
        <v>3</v>
      </c>
      <c r="G19" s="10">
        <f t="shared" si="3"/>
        <v>11.997</v>
      </c>
      <c r="H19" s="10">
        <f t="shared" si="0"/>
        <v>131.96699999999998</v>
      </c>
      <c r="I19" s="1">
        <f t="shared" si="1"/>
        <v>3</v>
      </c>
      <c r="J19" s="10" t="str">
        <f>IF('SuperMarket Sales'!F19&gt;=5, "Large Order", "Small Order")</f>
        <v>Small Order</v>
      </c>
      <c r="K19" s="10" t="str">
        <f t="shared" si="2"/>
        <v>January</v>
      </c>
    </row>
    <row r="20" spans="1:11" x14ac:dyDescent="0.35">
      <c r="A20" s="13">
        <v>1019</v>
      </c>
      <c r="B20" s="5">
        <v>45301</v>
      </c>
      <c r="C20" s="4" t="s">
        <v>27</v>
      </c>
      <c r="D20" s="5">
        <v>45302</v>
      </c>
      <c r="E20" s="10">
        <v>199.99</v>
      </c>
      <c r="F20" s="11">
        <v>1</v>
      </c>
      <c r="G20" s="10">
        <f t="shared" si="3"/>
        <v>19.999000000000002</v>
      </c>
      <c r="H20" s="10">
        <f t="shared" si="0"/>
        <v>219.989</v>
      </c>
      <c r="I20" s="1">
        <f t="shared" si="1"/>
        <v>1</v>
      </c>
      <c r="J20" s="10" t="str">
        <f>IF('SuperMarket Sales'!F20&gt;=5, "Large Order", "Small Order")</f>
        <v>Small Order</v>
      </c>
      <c r="K20" s="10" t="str">
        <f t="shared" si="2"/>
        <v>January</v>
      </c>
    </row>
    <row r="21" spans="1:11" x14ac:dyDescent="0.35">
      <c r="A21" s="13">
        <v>1020</v>
      </c>
      <c r="B21" s="5">
        <v>45301</v>
      </c>
      <c r="C21" s="4" t="s">
        <v>28</v>
      </c>
      <c r="D21" s="5">
        <v>45305</v>
      </c>
      <c r="E21" s="10">
        <v>29.99</v>
      </c>
      <c r="F21" s="11">
        <v>5</v>
      </c>
      <c r="G21" s="10">
        <f t="shared" si="3"/>
        <v>14.994999999999999</v>
      </c>
      <c r="H21" s="10">
        <f t="shared" si="0"/>
        <v>164.94499999999999</v>
      </c>
      <c r="I21" s="1">
        <f t="shared" si="1"/>
        <v>4</v>
      </c>
      <c r="J21" s="10" t="str">
        <f>IF('SuperMarket Sales'!F21&gt;=5, "Large Order", "Small Order")</f>
        <v>Large Order</v>
      </c>
      <c r="K21" s="10" t="str">
        <f t="shared" si="2"/>
        <v>January</v>
      </c>
    </row>
    <row r="22" spans="1:11" x14ac:dyDescent="0.35">
      <c r="A22" s="13">
        <v>1021</v>
      </c>
      <c r="B22" s="5">
        <v>45302</v>
      </c>
      <c r="C22" s="4" t="s">
        <v>29</v>
      </c>
      <c r="D22" s="5">
        <v>45305</v>
      </c>
      <c r="E22" s="10">
        <v>79.989999999999995</v>
      </c>
      <c r="F22" s="11">
        <v>2</v>
      </c>
      <c r="G22" s="10">
        <f t="shared" si="3"/>
        <v>15.997999999999999</v>
      </c>
      <c r="H22" s="10">
        <f t="shared" si="0"/>
        <v>175.97799999999998</v>
      </c>
      <c r="I22" s="1">
        <f t="shared" si="1"/>
        <v>3</v>
      </c>
      <c r="J22" s="10" t="str">
        <f>IF('SuperMarket Sales'!F22&gt;=5, "Large Order", "Small Order")</f>
        <v>Small Order</v>
      </c>
      <c r="K22" s="10" t="str">
        <f t="shared" si="2"/>
        <v>January</v>
      </c>
    </row>
    <row r="23" spans="1:11" x14ac:dyDescent="0.35">
      <c r="A23" s="13">
        <v>1022</v>
      </c>
      <c r="B23" s="5">
        <v>45302</v>
      </c>
      <c r="C23" s="4" t="s">
        <v>30</v>
      </c>
      <c r="D23" s="5">
        <v>45306</v>
      </c>
      <c r="E23" s="10">
        <v>49.99</v>
      </c>
      <c r="F23" s="11">
        <v>3</v>
      </c>
      <c r="G23" s="10">
        <f t="shared" si="3"/>
        <v>14.997</v>
      </c>
      <c r="H23" s="10">
        <f t="shared" si="0"/>
        <v>164.96699999999998</v>
      </c>
      <c r="I23" s="1">
        <f t="shared" si="1"/>
        <v>4</v>
      </c>
      <c r="J23" s="10" t="str">
        <f>IF('SuperMarket Sales'!F23&gt;=5, "Large Order", "Small Order")</f>
        <v>Small Order</v>
      </c>
      <c r="K23" s="10" t="str">
        <f t="shared" si="2"/>
        <v>January</v>
      </c>
    </row>
    <row r="24" spans="1:11" x14ac:dyDescent="0.35">
      <c r="A24" s="13">
        <v>1023</v>
      </c>
      <c r="B24" s="5">
        <v>45303</v>
      </c>
      <c r="C24" s="4" t="s">
        <v>31</v>
      </c>
      <c r="D24" s="5">
        <v>45308</v>
      </c>
      <c r="E24" s="10">
        <v>129.99</v>
      </c>
      <c r="F24" s="11">
        <v>1</v>
      </c>
      <c r="G24" s="10">
        <f t="shared" si="3"/>
        <v>12.999000000000002</v>
      </c>
      <c r="H24" s="10">
        <f t="shared" si="0"/>
        <v>142.989</v>
      </c>
      <c r="I24" s="1">
        <f t="shared" si="1"/>
        <v>5</v>
      </c>
      <c r="J24" s="10" t="str">
        <f>IF('SuperMarket Sales'!F24&gt;=5, "Large Order", "Small Order")</f>
        <v>Small Order</v>
      </c>
      <c r="K24" s="10" t="str">
        <f t="shared" si="2"/>
        <v>January</v>
      </c>
    </row>
    <row r="25" spans="1:11" x14ac:dyDescent="0.35">
      <c r="A25" s="13">
        <v>1024</v>
      </c>
      <c r="B25" s="5">
        <v>45303</v>
      </c>
      <c r="C25" s="4" t="s">
        <v>32</v>
      </c>
      <c r="D25" s="5">
        <v>45308</v>
      </c>
      <c r="E25" s="10">
        <v>19.989999999999998</v>
      </c>
      <c r="F25" s="11">
        <v>4</v>
      </c>
      <c r="G25" s="10">
        <f t="shared" si="3"/>
        <v>7.9959999999999996</v>
      </c>
      <c r="H25" s="10">
        <f t="shared" si="0"/>
        <v>87.955999999999989</v>
      </c>
      <c r="I25" s="1">
        <f t="shared" si="1"/>
        <v>5</v>
      </c>
      <c r="J25" s="10" t="str">
        <f>IF('SuperMarket Sales'!F25&gt;=5, "Large Order", "Small Order")</f>
        <v>Small Order</v>
      </c>
      <c r="K25" s="10" t="str">
        <f t="shared" si="2"/>
        <v>January</v>
      </c>
    </row>
    <row r="26" spans="1:11" x14ac:dyDescent="0.35">
      <c r="A26" s="13">
        <v>1025</v>
      </c>
      <c r="B26" s="5">
        <v>45304</v>
      </c>
      <c r="C26" s="4" t="s">
        <v>13</v>
      </c>
      <c r="D26" s="5">
        <v>45308</v>
      </c>
      <c r="E26" s="10">
        <v>149.99</v>
      </c>
      <c r="F26" s="11">
        <v>1</v>
      </c>
      <c r="G26" s="10">
        <f t="shared" si="3"/>
        <v>14.999000000000002</v>
      </c>
      <c r="H26" s="10">
        <f t="shared" si="0"/>
        <v>164.989</v>
      </c>
      <c r="I26" s="1">
        <f t="shared" si="1"/>
        <v>4</v>
      </c>
      <c r="J26" s="10" t="str">
        <f>IF('SuperMarket Sales'!F26&gt;=5, "Large Order", "Small Order")</f>
        <v>Small Order</v>
      </c>
      <c r="K26" s="10" t="str">
        <f t="shared" si="2"/>
        <v>January</v>
      </c>
    </row>
    <row r="27" spans="1:11" x14ac:dyDescent="0.35">
      <c r="A27" s="13">
        <v>1026</v>
      </c>
      <c r="B27" s="5">
        <v>45304</v>
      </c>
      <c r="C27" s="4" t="s">
        <v>33</v>
      </c>
      <c r="D27" s="5">
        <v>45305</v>
      </c>
      <c r="E27" s="10">
        <v>69.989999999999995</v>
      </c>
      <c r="F27" s="11">
        <v>2</v>
      </c>
      <c r="G27" s="10">
        <f t="shared" si="3"/>
        <v>13.997999999999999</v>
      </c>
      <c r="H27" s="10">
        <f t="shared" si="0"/>
        <v>153.97799999999998</v>
      </c>
      <c r="I27" s="1">
        <f t="shared" si="1"/>
        <v>1</v>
      </c>
      <c r="J27" s="10" t="str">
        <f>IF('SuperMarket Sales'!F27&gt;=5, "Large Order", "Small Order")</f>
        <v>Small Order</v>
      </c>
      <c r="K27" s="10" t="str">
        <f t="shared" si="2"/>
        <v>January</v>
      </c>
    </row>
    <row r="28" spans="1:11" x14ac:dyDescent="0.35">
      <c r="A28" s="13">
        <v>1027</v>
      </c>
      <c r="B28" s="5">
        <v>45305</v>
      </c>
      <c r="C28" s="4" t="s">
        <v>34</v>
      </c>
      <c r="D28" s="5">
        <v>45309</v>
      </c>
      <c r="E28" s="10">
        <v>39.99</v>
      </c>
      <c r="F28" s="11">
        <v>3</v>
      </c>
      <c r="G28" s="10">
        <f t="shared" si="3"/>
        <v>11.997</v>
      </c>
      <c r="H28" s="10">
        <f t="shared" si="0"/>
        <v>131.96699999999998</v>
      </c>
      <c r="I28" s="1">
        <f t="shared" si="1"/>
        <v>4</v>
      </c>
      <c r="J28" s="10" t="str">
        <f>IF('SuperMarket Sales'!F28&gt;=5, "Large Order", "Small Order")</f>
        <v>Small Order</v>
      </c>
      <c r="K28" s="10" t="str">
        <f t="shared" si="2"/>
        <v>January</v>
      </c>
    </row>
    <row r="29" spans="1:11" x14ac:dyDescent="0.35">
      <c r="A29" s="13">
        <v>1028</v>
      </c>
      <c r="B29" s="5">
        <v>45305</v>
      </c>
      <c r="C29" s="4" t="s">
        <v>35</v>
      </c>
      <c r="D29" s="5">
        <v>45310</v>
      </c>
      <c r="E29" s="10">
        <v>199.99</v>
      </c>
      <c r="F29" s="11">
        <v>1</v>
      </c>
      <c r="G29" s="10">
        <f t="shared" si="3"/>
        <v>19.999000000000002</v>
      </c>
      <c r="H29" s="10">
        <f t="shared" si="0"/>
        <v>219.989</v>
      </c>
      <c r="I29" s="1">
        <f t="shared" si="1"/>
        <v>5</v>
      </c>
      <c r="J29" s="10" t="str">
        <f>IF('SuperMarket Sales'!F29&gt;=5, "Large Order", "Small Order")</f>
        <v>Small Order</v>
      </c>
      <c r="K29" s="10" t="str">
        <f t="shared" si="2"/>
        <v>January</v>
      </c>
    </row>
    <row r="30" spans="1:11" x14ac:dyDescent="0.35">
      <c r="A30" s="13">
        <v>1029</v>
      </c>
      <c r="B30" s="5">
        <v>45306</v>
      </c>
      <c r="C30" s="4" t="s">
        <v>36</v>
      </c>
      <c r="D30" s="5">
        <v>45310</v>
      </c>
      <c r="E30" s="10">
        <v>29.99</v>
      </c>
      <c r="F30" s="11">
        <v>5</v>
      </c>
      <c r="G30" s="10">
        <f t="shared" si="3"/>
        <v>14.994999999999999</v>
      </c>
      <c r="H30" s="10">
        <f t="shared" si="0"/>
        <v>164.94499999999999</v>
      </c>
      <c r="I30" s="1">
        <f t="shared" si="1"/>
        <v>4</v>
      </c>
      <c r="J30" s="10" t="str">
        <f>IF('SuperMarket Sales'!F30&gt;=5, "Large Order", "Small Order")</f>
        <v>Large Order</v>
      </c>
      <c r="K30" s="10" t="str">
        <f t="shared" si="2"/>
        <v>January</v>
      </c>
    </row>
    <row r="31" spans="1:11" x14ac:dyDescent="0.35">
      <c r="A31" s="13">
        <v>1030</v>
      </c>
      <c r="B31" s="5">
        <v>45306</v>
      </c>
      <c r="C31" s="4" t="s">
        <v>37</v>
      </c>
      <c r="D31" s="5">
        <v>45310</v>
      </c>
      <c r="E31" s="10">
        <v>79.989999999999995</v>
      </c>
      <c r="F31" s="11">
        <v>2</v>
      </c>
      <c r="G31" s="10">
        <f t="shared" si="3"/>
        <v>15.997999999999999</v>
      </c>
      <c r="H31" s="10">
        <f t="shared" si="0"/>
        <v>175.97799999999998</v>
      </c>
      <c r="I31" s="1">
        <f t="shared" si="1"/>
        <v>4</v>
      </c>
      <c r="J31" s="10" t="str">
        <f>IF('SuperMarket Sales'!F31&gt;=5, "Large Order", "Small Order")</f>
        <v>Small Order</v>
      </c>
      <c r="K31" s="10" t="str">
        <f t="shared" si="2"/>
        <v>January</v>
      </c>
    </row>
    <row r="32" spans="1:11" x14ac:dyDescent="0.35">
      <c r="A32" s="13">
        <v>1031</v>
      </c>
      <c r="B32" s="5">
        <v>45307</v>
      </c>
      <c r="C32" s="4" t="s">
        <v>38</v>
      </c>
      <c r="D32" s="5">
        <v>45310</v>
      </c>
      <c r="E32" s="10">
        <v>49.99</v>
      </c>
      <c r="F32" s="11">
        <v>3</v>
      </c>
      <c r="G32" s="10">
        <f t="shared" si="3"/>
        <v>14.997</v>
      </c>
      <c r="H32" s="10">
        <f t="shared" si="0"/>
        <v>164.96699999999998</v>
      </c>
      <c r="I32" s="1">
        <f t="shared" si="1"/>
        <v>3</v>
      </c>
      <c r="J32" s="10" t="str">
        <f>IF('SuperMarket Sales'!F32&gt;=5, "Large Order", "Small Order")</f>
        <v>Small Order</v>
      </c>
      <c r="K32" s="10" t="str">
        <f t="shared" si="2"/>
        <v>January</v>
      </c>
    </row>
    <row r="33" spans="1:11" x14ac:dyDescent="0.35">
      <c r="A33" s="13">
        <v>1032</v>
      </c>
      <c r="B33" s="5">
        <v>45307</v>
      </c>
      <c r="C33" s="4" t="s">
        <v>39</v>
      </c>
      <c r="D33" s="5">
        <v>45308</v>
      </c>
      <c r="E33" s="10">
        <v>129.99</v>
      </c>
      <c r="F33" s="11">
        <v>1</v>
      </c>
      <c r="G33" s="10">
        <f t="shared" si="3"/>
        <v>12.999000000000002</v>
      </c>
      <c r="H33" s="10">
        <f t="shared" si="0"/>
        <v>142.989</v>
      </c>
      <c r="I33" s="1">
        <f t="shared" si="1"/>
        <v>1</v>
      </c>
      <c r="J33" s="10" t="str">
        <f>IF('SuperMarket Sales'!F33&gt;=5, "Large Order", "Small Order")</f>
        <v>Small Order</v>
      </c>
      <c r="K33" s="10" t="str">
        <f t="shared" si="2"/>
        <v>January</v>
      </c>
    </row>
    <row r="34" spans="1:11" x14ac:dyDescent="0.35">
      <c r="A34" s="13">
        <v>1033</v>
      </c>
      <c r="B34" s="5">
        <v>45308</v>
      </c>
      <c r="C34" s="4" t="s">
        <v>40</v>
      </c>
      <c r="D34" s="5">
        <v>45310</v>
      </c>
      <c r="E34" s="10">
        <v>19.989999999999998</v>
      </c>
      <c r="F34" s="11">
        <v>4</v>
      </c>
      <c r="G34" s="10">
        <f t="shared" si="3"/>
        <v>7.9959999999999996</v>
      </c>
      <c r="H34" s="10">
        <f t="shared" ref="H34:H65" si="4">E34*F34+G34</f>
        <v>87.955999999999989</v>
      </c>
      <c r="I34" s="1">
        <f t="shared" ref="I34:I65" si="5">D34-B34</f>
        <v>2</v>
      </c>
      <c r="J34" s="10" t="str">
        <f>IF('SuperMarket Sales'!F34&gt;=5, "Large Order", "Small Order")</f>
        <v>Small Order</v>
      </c>
      <c r="K34" s="10" t="str">
        <f t="shared" ref="K34:K65" si="6">TEXT(B34,"mmmm")</f>
        <v>January</v>
      </c>
    </row>
    <row r="35" spans="1:11" x14ac:dyDescent="0.35">
      <c r="A35" s="13">
        <v>1034</v>
      </c>
      <c r="B35" s="5">
        <v>45308</v>
      </c>
      <c r="C35" s="4" t="s">
        <v>41</v>
      </c>
      <c r="D35" s="5">
        <v>45310</v>
      </c>
      <c r="E35" s="10">
        <v>149.99</v>
      </c>
      <c r="F35" s="11">
        <v>1</v>
      </c>
      <c r="G35" s="10">
        <f t="shared" si="3"/>
        <v>14.999000000000002</v>
      </c>
      <c r="H35" s="10">
        <f t="shared" si="4"/>
        <v>164.989</v>
      </c>
      <c r="I35" s="1">
        <f t="shared" si="5"/>
        <v>2</v>
      </c>
      <c r="J35" s="10" t="str">
        <f>IF('SuperMarket Sales'!F35&gt;=5, "Large Order", "Small Order")</f>
        <v>Small Order</v>
      </c>
      <c r="K35" s="10" t="str">
        <f t="shared" si="6"/>
        <v>January</v>
      </c>
    </row>
    <row r="36" spans="1:11" x14ac:dyDescent="0.35">
      <c r="A36" s="13">
        <v>1035</v>
      </c>
      <c r="B36" s="5">
        <v>45309</v>
      </c>
      <c r="C36" s="4" t="s">
        <v>42</v>
      </c>
      <c r="D36" s="5">
        <v>45314</v>
      </c>
      <c r="E36" s="10">
        <v>69.989999999999995</v>
      </c>
      <c r="F36" s="11">
        <v>2</v>
      </c>
      <c r="G36" s="10">
        <f t="shared" si="3"/>
        <v>13.997999999999999</v>
      </c>
      <c r="H36" s="10">
        <f t="shared" si="4"/>
        <v>153.97799999999998</v>
      </c>
      <c r="I36" s="1">
        <f t="shared" si="5"/>
        <v>5</v>
      </c>
      <c r="J36" s="10" t="str">
        <f>IF('SuperMarket Sales'!F36&gt;=5, "Large Order", "Small Order")</f>
        <v>Small Order</v>
      </c>
      <c r="K36" s="10" t="str">
        <f t="shared" si="6"/>
        <v>January</v>
      </c>
    </row>
    <row r="37" spans="1:11" x14ac:dyDescent="0.35">
      <c r="A37" s="13">
        <v>1036</v>
      </c>
      <c r="B37" s="5">
        <v>45309</v>
      </c>
      <c r="C37" s="4" t="s">
        <v>43</v>
      </c>
      <c r="D37" s="5">
        <v>45310</v>
      </c>
      <c r="E37" s="10">
        <v>39.99</v>
      </c>
      <c r="F37" s="11">
        <v>3</v>
      </c>
      <c r="G37" s="10">
        <f t="shared" si="3"/>
        <v>11.997</v>
      </c>
      <c r="H37" s="10">
        <f t="shared" si="4"/>
        <v>131.96699999999998</v>
      </c>
      <c r="I37" s="1">
        <f t="shared" si="5"/>
        <v>1</v>
      </c>
      <c r="J37" s="10" t="str">
        <f>IF('SuperMarket Sales'!F37&gt;=5, "Large Order", "Small Order")</f>
        <v>Small Order</v>
      </c>
      <c r="K37" s="10" t="str">
        <f t="shared" si="6"/>
        <v>January</v>
      </c>
    </row>
    <row r="38" spans="1:11" x14ac:dyDescent="0.35">
      <c r="A38" s="13">
        <v>1037</v>
      </c>
      <c r="B38" s="5">
        <v>45310</v>
      </c>
      <c r="C38" s="4" t="s">
        <v>44</v>
      </c>
      <c r="D38" s="5">
        <v>45311</v>
      </c>
      <c r="E38" s="10">
        <v>199.99</v>
      </c>
      <c r="F38" s="11">
        <v>1</v>
      </c>
      <c r="G38" s="10">
        <f t="shared" si="3"/>
        <v>19.999000000000002</v>
      </c>
      <c r="H38" s="10">
        <f t="shared" si="4"/>
        <v>219.989</v>
      </c>
      <c r="I38" s="1">
        <f t="shared" si="5"/>
        <v>1</v>
      </c>
      <c r="J38" s="10" t="str">
        <f>IF('SuperMarket Sales'!F38&gt;=5, "Large Order", "Small Order")</f>
        <v>Small Order</v>
      </c>
      <c r="K38" s="10" t="str">
        <f t="shared" si="6"/>
        <v>January</v>
      </c>
    </row>
    <row r="39" spans="1:11" x14ac:dyDescent="0.35">
      <c r="A39" s="13">
        <v>1038</v>
      </c>
      <c r="B39" s="5">
        <v>45310</v>
      </c>
      <c r="C39" s="4" t="s">
        <v>45</v>
      </c>
      <c r="D39" s="5">
        <v>45313</v>
      </c>
      <c r="E39" s="10">
        <v>29.99</v>
      </c>
      <c r="F39" s="11">
        <v>5</v>
      </c>
      <c r="G39" s="10">
        <f t="shared" si="3"/>
        <v>14.994999999999999</v>
      </c>
      <c r="H39" s="10">
        <f t="shared" si="4"/>
        <v>164.94499999999999</v>
      </c>
      <c r="I39" s="1">
        <f t="shared" si="5"/>
        <v>3</v>
      </c>
      <c r="J39" s="10" t="str">
        <f>IF('SuperMarket Sales'!F39&gt;=5, "Large Order", "Small Order")</f>
        <v>Large Order</v>
      </c>
      <c r="K39" s="10" t="str">
        <f t="shared" si="6"/>
        <v>January</v>
      </c>
    </row>
    <row r="40" spans="1:11" x14ac:dyDescent="0.35">
      <c r="A40" s="13">
        <v>1039</v>
      </c>
      <c r="B40" s="5">
        <v>45311</v>
      </c>
      <c r="C40" s="4" t="s">
        <v>11</v>
      </c>
      <c r="D40" s="5">
        <v>45315</v>
      </c>
      <c r="E40" s="10">
        <v>79.989999999999995</v>
      </c>
      <c r="F40" s="11">
        <v>2</v>
      </c>
      <c r="G40" s="10">
        <f t="shared" si="3"/>
        <v>15.997999999999999</v>
      </c>
      <c r="H40" s="10">
        <f t="shared" si="4"/>
        <v>175.97799999999998</v>
      </c>
      <c r="I40" s="1">
        <f t="shared" si="5"/>
        <v>4</v>
      </c>
      <c r="J40" s="10" t="str">
        <f>IF('SuperMarket Sales'!F40&gt;=5, "Large Order", "Small Order")</f>
        <v>Small Order</v>
      </c>
      <c r="K40" s="10" t="str">
        <f t="shared" si="6"/>
        <v>January</v>
      </c>
    </row>
    <row r="41" spans="1:11" x14ac:dyDescent="0.35">
      <c r="A41" s="13">
        <v>1040</v>
      </c>
      <c r="B41" s="5">
        <v>45311</v>
      </c>
      <c r="C41" s="4" t="s">
        <v>32</v>
      </c>
      <c r="D41" s="5">
        <v>45312</v>
      </c>
      <c r="E41" s="10">
        <v>49.99</v>
      </c>
      <c r="F41" s="11">
        <v>3</v>
      </c>
      <c r="G41" s="10">
        <f t="shared" si="3"/>
        <v>14.997</v>
      </c>
      <c r="H41" s="10">
        <f t="shared" si="4"/>
        <v>164.96699999999998</v>
      </c>
      <c r="I41" s="1">
        <f t="shared" si="5"/>
        <v>1</v>
      </c>
      <c r="J41" s="10" t="str">
        <f>IF('SuperMarket Sales'!F41&gt;=5, "Large Order", "Small Order")</f>
        <v>Small Order</v>
      </c>
      <c r="K41" s="10" t="str">
        <f t="shared" si="6"/>
        <v>January</v>
      </c>
    </row>
    <row r="42" spans="1:11" x14ac:dyDescent="0.35">
      <c r="A42" s="13">
        <v>1041</v>
      </c>
      <c r="B42" s="5">
        <v>45312</v>
      </c>
      <c r="C42" s="4" t="s">
        <v>13</v>
      </c>
      <c r="D42" s="5">
        <v>45317</v>
      </c>
      <c r="E42" s="10">
        <v>129.99</v>
      </c>
      <c r="F42" s="11">
        <v>1</v>
      </c>
      <c r="G42" s="10">
        <f t="shared" si="3"/>
        <v>12.999000000000002</v>
      </c>
      <c r="H42" s="10">
        <f t="shared" si="4"/>
        <v>142.989</v>
      </c>
      <c r="I42" s="1">
        <f t="shared" si="5"/>
        <v>5</v>
      </c>
      <c r="J42" s="10" t="str">
        <f>IF('SuperMarket Sales'!F42&gt;=5, "Large Order", "Small Order")</f>
        <v>Small Order</v>
      </c>
      <c r="K42" s="10" t="str">
        <f t="shared" si="6"/>
        <v>January</v>
      </c>
    </row>
    <row r="43" spans="1:11" x14ac:dyDescent="0.35">
      <c r="A43" s="13">
        <v>1042</v>
      </c>
      <c r="B43" s="5">
        <v>45312</v>
      </c>
      <c r="C43" s="4" t="s">
        <v>46</v>
      </c>
      <c r="D43" s="5">
        <v>45314</v>
      </c>
      <c r="E43" s="10">
        <v>19.989999999999998</v>
      </c>
      <c r="F43" s="11">
        <v>4</v>
      </c>
      <c r="G43" s="10">
        <f t="shared" si="3"/>
        <v>7.9959999999999996</v>
      </c>
      <c r="H43" s="10">
        <f t="shared" si="4"/>
        <v>87.955999999999989</v>
      </c>
      <c r="I43" s="1">
        <f t="shared" si="5"/>
        <v>2</v>
      </c>
      <c r="J43" s="10" t="str">
        <f>IF('SuperMarket Sales'!F43&gt;=5, "Large Order", "Small Order")</f>
        <v>Small Order</v>
      </c>
      <c r="K43" s="10" t="str">
        <f t="shared" si="6"/>
        <v>January</v>
      </c>
    </row>
    <row r="44" spans="1:11" x14ac:dyDescent="0.35">
      <c r="A44" s="13">
        <v>1043</v>
      </c>
      <c r="B44" s="5">
        <v>45313</v>
      </c>
      <c r="C44" s="4" t="s">
        <v>47</v>
      </c>
      <c r="D44" s="5">
        <v>45316</v>
      </c>
      <c r="E44" s="10">
        <v>149.99</v>
      </c>
      <c r="F44" s="11">
        <v>1</v>
      </c>
      <c r="G44" s="10">
        <f t="shared" si="3"/>
        <v>14.999000000000002</v>
      </c>
      <c r="H44" s="10">
        <f t="shared" si="4"/>
        <v>164.989</v>
      </c>
      <c r="I44" s="1">
        <f t="shared" si="5"/>
        <v>3</v>
      </c>
      <c r="J44" s="10" t="str">
        <f>IF('SuperMarket Sales'!F44&gt;=5, "Large Order", "Small Order")</f>
        <v>Small Order</v>
      </c>
      <c r="K44" s="10" t="str">
        <f t="shared" si="6"/>
        <v>January</v>
      </c>
    </row>
    <row r="45" spans="1:11" x14ac:dyDescent="0.35">
      <c r="A45" s="13">
        <v>1044</v>
      </c>
      <c r="B45" s="5">
        <v>45313</v>
      </c>
      <c r="C45" s="4" t="s">
        <v>12</v>
      </c>
      <c r="D45" s="5">
        <v>45316</v>
      </c>
      <c r="E45" s="10">
        <v>69.989999999999995</v>
      </c>
      <c r="F45" s="11">
        <v>2</v>
      </c>
      <c r="G45" s="10">
        <f t="shared" si="3"/>
        <v>13.997999999999999</v>
      </c>
      <c r="H45" s="10">
        <f t="shared" si="4"/>
        <v>153.97799999999998</v>
      </c>
      <c r="I45" s="1">
        <f t="shared" si="5"/>
        <v>3</v>
      </c>
      <c r="J45" s="10" t="str">
        <f>IF('SuperMarket Sales'!F45&gt;=5, "Large Order", "Small Order")</f>
        <v>Small Order</v>
      </c>
      <c r="K45" s="10" t="str">
        <f t="shared" si="6"/>
        <v>January</v>
      </c>
    </row>
    <row r="46" spans="1:11" x14ac:dyDescent="0.35">
      <c r="A46" s="13">
        <v>1045</v>
      </c>
      <c r="B46" s="5">
        <v>45314</v>
      </c>
      <c r="C46" s="4" t="s">
        <v>48</v>
      </c>
      <c r="D46" s="5">
        <v>45318</v>
      </c>
      <c r="E46" s="10">
        <v>39.99</v>
      </c>
      <c r="F46" s="11">
        <v>3</v>
      </c>
      <c r="G46" s="10">
        <f t="shared" si="3"/>
        <v>11.997</v>
      </c>
      <c r="H46" s="10">
        <f t="shared" si="4"/>
        <v>131.96699999999998</v>
      </c>
      <c r="I46" s="1">
        <f t="shared" si="5"/>
        <v>4</v>
      </c>
      <c r="J46" s="10" t="str">
        <f>IF('SuperMarket Sales'!F46&gt;=5, "Large Order", "Small Order")</f>
        <v>Small Order</v>
      </c>
      <c r="K46" s="10" t="str">
        <f t="shared" si="6"/>
        <v>January</v>
      </c>
    </row>
    <row r="47" spans="1:11" x14ac:dyDescent="0.35">
      <c r="A47" s="13">
        <v>1046</v>
      </c>
      <c r="B47" s="5">
        <v>45314</v>
      </c>
      <c r="C47" s="4" t="s">
        <v>28</v>
      </c>
      <c r="D47" s="5">
        <v>45317</v>
      </c>
      <c r="E47" s="10">
        <v>199.99</v>
      </c>
      <c r="F47" s="11">
        <v>1</v>
      </c>
      <c r="G47" s="10">
        <f t="shared" si="3"/>
        <v>19.999000000000002</v>
      </c>
      <c r="H47" s="10">
        <f t="shared" si="4"/>
        <v>219.989</v>
      </c>
      <c r="I47" s="1">
        <f t="shared" si="5"/>
        <v>3</v>
      </c>
      <c r="J47" s="10" t="str">
        <f>IF('SuperMarket Sales'!F47&gt;=5, "Large Order", "Small Order")</f>
        <v>Small Order</v>
      </c>
      <c r="K47" s="10" t="str">
        <f t="shared" si="6"/>
        <v>January</v>
      </c>
    </row>
    <row r="48" spans="1:11" x14ac:dyDescent="0.35">
      <c r="A48" s="13">
        <v>1047</v>
      </c>
      <c r="B48" s="5">
        <v>45315</v>
      </c>
      <c r="C48" s="4" t="s">
        <v>49</v>
      </c>
      <c r="D48" s="5">
        <v>45316</v>
      </c>
      <c r="E48" s="10">
        <v>29.99</v>
      </c>
      <c r="F48" s="11">
        <v>5</v>
      </c>
      <c r="G48" s="10">
        <f t="shared" si="3"/>
        <v>14.994999999999999</v>
      </c>
      <c r="H48" s="10">
        <f t="shared" si="4"/>
        <v>164.94499999999999</v>
      </c>
      <c r="I48" s="1">
        <f t="shared" si="5"/>
        <v>1</v>
      </c>
      <c r="J48" s="10" t="str">
        <f>IF('SuperMarket Sales'!F48&gt;=5, "Large Order", "Small Order")</f>
        <v>Large Order</v>
      </c>
      <c r="K48" s="10" t="str">
        <f t="shared" si="6"/>
        <v>January</v>
      </c>
    </row>
    <row r="49" spans="1:11" x14ac:dyDescent="0.35">
      <c r="A49" s="13">
        <v>1048</v>
      </c>
      <c r="B49" s="5">
        <v>45315</v>
      </c>
      <c r="C49" s="4" t="s">
        <v>50</v>
      </c>
      <c r="D49" s="5">
        <v>45317</v>
      </c>
      <c r="E49" s="10">
        <v>79.989999999999995</v>
      </c>
      <c r="F49" s="11">
        <v>2</v>
      </c>
      <c r="G49" s="10">
        <f t="shared" si="3"/>
        <v>15.997999999999999</v>
      </c>
      <c r="H49" s="10">
        <f t="shared" si="4"/>
        <v>175.97799999999998</v>
      </c>
      <c r="I49" s="1">
        <f t="shared" si="5"/>
        <v>2</v>
      </c>
      <c r="J49" s="10" t="str">
        <f>IF('SuperMarket Sales'!F49&gt;=5, "Large Order", "Small Order")</f>
        <v>Small Order</v>
      </c>
      <c r="K49" s="10" t="str">
        <f t="shared" si="6"/>
        <v>January</v>
      </c>
    </row>
    <row r="50" spans="1:11" x14ac:dyDescent="0.35">
      <c r="A50" s="13">
        <v>1049</v>
      </c>
      <c r="B50" s="5">
        <v>45316</v>
      </c>
      <c r="C50" s="4" t="s">
        <v>51</v>
      </c>
      <c r="D50" s="5">
        <v>45321</v>
      </c>
      <c r="E50" s="10">
        <v>49.99</v>
      </c>
      <c r="F50" s="11">
        <v>3</v>
      </c>
      <c r="G50" s="10">
        <f t="shared" si="3"/>
        <v>14.997</v>
      </c>
      <c r="H50" s="10">
        <f t="shared" si="4"/>
        <v>164.96699999999998</v>
      </c>
      <c r="I50" s="1">
        <f t="shared" si="5"/>
        <v>5</v>
      </c>
      <c r="J50" s="10" t="str">
        <f>IF('SuperMarket Sales'!F50&gt;=5, "Large Order", "Small Order")</f>
        <v>Small Order</v>
      </c>
      <c r="K50" s="10" t="str">
        <f t="shared" si="6"/>
        <v>January</v>
      </c>
    </row>
    <row r="51" spans="1:11" x14ac:dyDescent="0.35">
      <c r="A51" s="13">
        <v>1050</v>
      </c>
      <c r="B51" s="5">
        <v>45316</v>
      </c>
      <c r="C51" s="4" t="s">
        <v>52</v>
      </c>
      <c r="D51" s="5">
        <v>45318</v>
      </c>
      <c r="E51" s="10">
        <v>129.99</v>
      </c>
      <c r="F51" s="11">
        <v>1</v>
      </c>
      <c r="G51" s="10">
        <f t="shared" si="3"/>
        <v>12.999000000000002</v>
      </c>
      <c r="H51" s="10">
        <f t="shared" si="4"/>
        <v>142.989</v>
      </c>
      <c r="I51" s="1">
        <f t="shared" si="5"/>
        <v>2</v>
      </c>
      <c r="J51" s="10" t="str">
        <f>IF('SuperMarket Sales'!F51&gt;=5, "Large Order", "Small Order")</f>
        <v>Small Order</v>
      </c>
      <c r="K51" s="10" t="str">
        <f t="shared" si="6"/>
        <v>January</v>
      </c>
    </row>
    <row r="52" spans="1:11" x14ac:dyDescent="0.35">
      <c r="A52" s="13">
        <v>1051</v>
      </c>
      <c r="B52" s="5">
        <v>45317</v>
      </c>
      <c r="C52" s="4" t="s">
        <v>53</v>
      </c>
      <c r="D52" s="5">
        <v>45320</v>
      </c>
      <c r="E52" s="10">
        <v>19.989999999999998</v>
      </c>
      <c r="F52" s="11">
        <v>4</v>
      </c>
      <c r="G52" s="10">
        <f t="shared" si="3"/>
        <v>7.9959999999999996</v>
      </c>
      <c r="H52" s="10">
        <f t="shared" si="4"/>
        <v>87.955999999999989</v>
      </c>
      <c r="I52" s="1">
        <f t="shared" si="5"/>
        <v>3</v>
      </c>
      <c r="J52" s="10" t="str">
        <f>IF('SuperMarket Sales'!F52&gt;=5, "Large Order", "Small Order")</f>
        <v>Small Order</v>
      </c>
      <c r="K52" s="10" t="str">
        <f t="shared" si="6"/>
        <v>January</v>
      </c>
    </row>
    <row r="53" spans="1:11" x14ac:dyDescent="0.35">
      <c r="A53" s="13">
        <v>1052</v>
      </c>
      <c r="B53" s="5">
        <v>45317</v>
      </c>
      <c r="C53" s="4" t="s">
        <v>54</v>
      </c>
      <c r="D53" s="5">
        <v>45319</v>
      </c>
      <c r="E53" s="10">
        <v>149.99</v>
      </c>
      <c r="F53" s="11">
        <v>1</v>
      </c>
      <c r="G53" s="10">
        <f t="shared" si="3"/>
        <v>14.999000000000002</v>
      </c>
      <c r="H53" s="10">
        <f t="shared" si="4"/>
        <v>164.989</v>
      </c>
      <c r="I53" s="1">
        <f t="shared" si="5"/>
        <v>2</v>
      </c>
      <c r="J53" s="10" t="str">
        <f>IF('SuperMarket Sales'!F53&gt;=5, "Large Order", "Small Order")</f>
        <v>Small Order</v>
      </c>
      <c r="K53" s="10" t="str">
        <f t="shared" si="6"/>
        <v>January</v>
      </c>
    </row>
    <row r="54" spans="1:11" x14ac:dyDescent="0.35">
      <c r="A54" s="13">
        <v>1053</v>
      </c>
      <c r="B54" s="5">
        <v>45318</v>
      </c>
      <c r="C54" s="4" t="s">
        <v>55</v>
      </c>
      <c r="D54" s="5">
        <v>45322</v>
      </c>
      <c r="E54" s="10">
        <v>69.989999999999995</v>
      </c>
      <c r="F54" s="11">
        <v>2</v>
      </c>
      <c r="G54" s="10">
        <f t="shared" si="3"/>
        <v>13.997999999999999</v>
      </c>
      <c r="H54" s="10">
        <f t="shared" si="4"/>
        <v>153.97799999999998</v>
      </c>
      <c r="I54" s="1">
        <f t="shared" si="5"/>
        <v>4</v>
      </c>
      <c r="J54" s="10" t="str">
        <f>IF('SuperMarket Sales'!F54&gt;=5, "Large Order", "Small Order")</f>
        <v>Small Order</v>
      </c>
      <c r="K54" s="10" t="str">
        <f t="shared" si="6"/>
        <v>January</v>
      </c>
    </row>
    <row r="55" spans="1:11" x14ac:dyDescent="0.35">
      <c r="A55" s="13">
        <v>1054</v>
      </c>
      <c r="B55" s="5">
        <v>45318</v>
      </c>
      <c r="C55" s="4" t="s">
        <v>56</v>
      </c>
      <c r="D55" s="5">
        <v>45322</v>
      </c>
      <c r="E55" s="10">
        <v>39.99</v>
      </c>
      <c r="F55" s="11">
        <v>3</v>
      </c>
      <c r="G55" s="10">
        <f t="shared" si="3"/>
        <v>11.997</v>
      </c>
      <c r="H55" s="10">
        <f t="shared" si="4"/>
        <v>131.96699999999998</v>
      </c>
      <c r="I55" s="1">
        <f t="shared" si="5"/>
        <v>4</v>
      </c>
      <c r="J55" s="10" t="str">
        <f>IF('SuperMarket Sales'!F55&gt;=5, "Large Order", "Small Order")</f>
        <v>Small Order</v>
      </c>
      <c r="K55" s="10" t="str">
        <f t="shared" si="6"/>
        <v>January</v>
      </c>
    </row>
    <row r="56" spans="1:11" x14ac:dyDescent="0.35">
      <c r="A56" s="13">
        <v>1055</v>
      </c>
      <c r="B56" s="5">
        <v>45319</v>
      </c>
      <c r="C56" s="4" t="s">
        <v>57</v>
      </c>
      <c r="D56" s="5">
        <v>45320</v>
      </c>
      <c r="E56" s="10">
        <v>199.99</v>
      </c>
      <c r="F56" s="11">
        <v>1</v>
      </c>
      <c r="G56" s="10">
        <f t="shared" si="3"/>
        <v>19.999000000000002</v>
      </c>
      <c r="H56" s="10">
        <f t="shared" si="4"/>
        <v>219.989</v>
      </c>
      <c r="I56" s="1">
        <f t="shared" si="5"/>
        <v>1</v>
      </c>
      <c r="J56" s="10" t="str">
        <f>IF('SuperMarket Sales'!F56&gt;=5, "Large Order", "Small Order")</f>
        <v>Small Order</v>
      </c>
      <c r="K56" s="10" t="str">
        <f t="shared" si="6"/>
        <v>January</v>
      </c>
    </row>
    <row r="57" spans="1:11" x14ac:dyDescent="0.35">
      <c r="A57" s="13">
        <v>1056</v>
      </c>
      <c r="B57" s="5">
        <v>45319</v>
      </c>
      <c r="C57" s="4" t="s">
        <v>58</v>
      </c>
      <c r="D57" s="5">
        <v>45320</v>
      </c>
      <c r="E57" s="10">
        <v>29.99</v>
      </c>
      <c r="F57" s="11">
        <v>5</v>
      </c>
      <c r="G57" s="10">
        <f t="shared" si="3"/>
        <v>14.994999999999999</v>
      </c>
      <c r="H57" s="10">
        <f t="shared" si="4"/>
        <v>164.94499999999999</v>
      </c>
      <c r="I57" s="1">
        <f t="shared" si="5"/>
        <v>1</v>
      </c>
      <c r="J57" s="10" t="str">
        <f>IF('SuperMarket Sales'!F57&gt;=5, "Large Order", "Small Order")</f>
        <v>Large Order</v>
      </c>
      <c r="K57" s="10" t="str">
        <f t="shared" si="6"/>
        <v>January</v>
      </c>
    </row>
    <row r="58" spans="1:11" x14ac:dyDescent="0.35">
      <c r="A58" s="13">
        <v>1057</v>
      </c>
      <c r="B58" s="5">
        <v>45320</v>
      </c>
      <c r="C58" s="4" t="s">
        <v>59</v>
      </c>
      <c r="D58" s="5">
        <v>45321</v>
      </c>
      <c r="E58" s="10">
        <v>79.989999999999995</v>
      </c>
      <c r="F58" s="11">
        <v>2</v>
      </c>
      <c r="G58" s="10">
        <f t="shared" si="3"/>
        <v>15.997999999999999</v>
      </c>
      <c r="H58" s="10">
        <f t="shared" si="4"/>
        <v>175.97799999999998</v>
      </c>
      <c r="I58" s="1">
        <f t="shared" si="5"/>
        <v>1</v>
      </c>
      <c r="J58" s="10" t="str">
        <f>IF('SuperMarket Sales'!F58&gt;=5, "Large Order", "Small Order")</f>
        <v>Small Order</v>
      </c>
      <c r="K58" s="10" t="str">
        <f t="shared" si="6"/>
        <v>January</v>
      </c>
    </row>
    <row r="59" spans="1:11" x14ac:dyDescent="0.35">
      <c r="A59" s="13">
        <v>1058</v>
      </c>
      <c r="B59" s="5">
        <v>45320</v>
      </c>
      <c r="C59" s="4" t="s">
        <v>46</v>
      </c>
      <c r="D59" s="5">
        <v>45322</v>
      </c>
      <c r="E59" s="10">
        <v>49.99</v>
      </c>
      <c r="F59" s="11">
        <v>3</v>
      </c>
      <c r="G59" s="10">
        <f t="shared" si="3"/>
        <v>14.997</v>
      </c>
      <c r="H59" s="10">
        <f t="shared" si="4"/>
        <v>164.96699999999998</v>
      </c>
      <c r="I59" s="1">
        <f t="shared" si="5"/>
        <v>2</v>
      </c>
      <c r="J59" s="10" t="str">
        <f>IF('SuperMarket Sales'!F59&gt;=5, "Large Order", "Small Order")</f>
        <v>Small Order</v>
      </c>
      <c r="K59" s="10" t="str">
        <f t="shared" si="6"/>
        <v>January</v>
      </c>
    </row>
    <row r="60" spans="1:11" x14ac:dyDescent="0.35">
      <c r="A60" s="13">
        <v>1059</v>
      </c>
      <c r="B60" s="5">
        <v>45321</v>
      </c>
      <c r="C60" s="4" t="s">
        <v>47</v>
      </c>
      <c r="D60" s="5">
        <v>45322</v>
      </c>
      <c r="E60" s="10">
        <v>129.99</v>
      </c>
      <c r="F60" s="11">
        <v>1</v>
      </c>
      <c r="G60" s="10">
        <f t="shared" si="3"/>
        <v>12.999000000000002</v>
      </c>
      <c r="H60" s="10">
        <f t="shared" si="4"/>
        <v>142.989</v>
      </c>
      <c r="I60" s="1">
        <f t="shared" si="5"/>
        <v>1</v>
      </c>
      <c r="J60" s="10" t="str">
        <f>IF('SuperMarket Sales'!F60&gt;=5, "Large Order", "Small Order")</f>
        <v>Small Order</v>
      </c>
      <c r="K60" s="10" t="str">
        <f t="shared" si="6"/>
        <v>January</v>
      </c>
    </row>
    <row r="61" spans="1:11" x14ac:dyDescent="0.35">
      <c r="A61" s="13">
        <v>1060</v>
      </c>
      <c r="B61" s="5">
        <v>45321</v>
      </c>
      <c r="C61" s="4" t="s">
        <v>12</v>
      </c>
      <c r="D61" s="5">
        <v>45323</v>
      </c>
      <c r="E61" s="10">
        <v>19.989999999999998</v>
      </c>
      <c r="F61" s="11">
        <v>4</v>
      </c>
      <c r="G61" s="10">
        <f t="shared" si="3"/>
        <v>7.9959999999999996</v>
      </c>
      <c r="H61" s="10">
        <f t="shared" si="4"/>
        <v>87.955999999999989</v>
      </c>
      <c r="I61" s="1">
        <f t="shared" si="5"/>
        <v>2</v>
      </c>
      <c r="J61" s="10" t="str">
        <f>IF('SuperMarket Sales'!F61&gt;=5, "Large Order", "Small Order")</f>
        <v>Small Order</v>
      </c>
      <c r="K61" s="10" t="str">
        <f t="shared" si="6"/>
        <v>January</v>
      </c>
    </row>
    <row r="62" spans="1:11" x14ac:dyDescent="0.35">
      <c r="A62" s="13">
        <v>1061</v>
      </c>
      <c r="B62" s="5">
        <v>45322</v>
      </c>
      <c r="C62" s="4" t="s">
        <v>48</v>
      </c>
      <c r="D62" s="5">
        <v>45324</v>
      </c>
      <c r="E62" s="10">
        <v>149.99</v>
      </c>
      <c r="F62" s="11">
        <v>1</v>
      </c>
      <c r="G62" s="10">
        <f t="shared" si="3"/>
        <v>14.999000000000002</v>
      </c>
      <c r="H62" s="10">
        <f t="shared" si="4"/>
        <v>164.989</v>
      </c>
      <c r="I62" s="1">
        <f t="shared" si="5"/>
        <v>2</v>
      </c>
      <c r="J62" s="10" t="str">
        <f>IF('SuperMarket Sales'!F62&gt;=5, "Large Order", "Small Order")</f>
        <v>Small Order</v>
      </c>
      <c r="K62" s="10" t="str">
        <f t="shared" si="6"/>
        <v>January</v>
      </c>
    </row>
    <row r="63" spans="1:11" x14ac:dyDescent="0.35">
      <c r="A63" s="13">
        <v>1062</v>
      </c>
      <c r="B63" s="5">
        <v>45322</v>
      </c>
      <c r="C63" s="4" t="s">
        <v>28</v>
      </c>
      <c r="D63" s="5">
        <v>45326</v>
      </c>
      <c r="E63" s="10">
        <v>69.989999999999995</v>
      </c>
      <c r="F63" s="11">
        <v>2</v>
      </c>
      <c r="G63" s="10">
        <f t="shared" si="3"/>
        <v>13.997999999999999</v>
      </c>
      <c r="H63" s="10">
        <f t="shared" si="4"/>
        <v>153.97799999999998</v>
      </c>
      <c r="I63" s="1">
        <f t="shared" si="5"/>
        <v>4</v>
      </c>
      <c r="J63" s="10" t="str">
        <f>IF('SuperMarket Sales'!F63&gt;=5, "Large Order", "Small Order")</f>
        <v>Small Order</v>
      </c>
      <c r="K63" s="10" t="str">
        <f t="shared" si="6"/>
        <v>January</v>
      </c>
    </row>
    <row r="64" spans="1:11" x14ac:dyDescent="0.35">
      <c r="A64" s="13">
        <v>1063</v>
      </c>
      <c r="B64" s="5">
        <v>45323</v>
      </c>
      <c r="C64" s="4" t="s">
        <v>49</v>
      </c>
      <c r="D64" s="5">
        <v>45324</v>
      </c>
      <c r="E64" s="10">
        <v>39.99</v>
      </c>
      <c r="F64" s="11">
        <v>3</v>
      </c>
      <c r="G64" s="10">
        <f t="shared" si="3"/>
        <v>11.997</v>
      </c>
      <c r="H64" s="10">
        <f t="shared" si="4"/>
        <v>131.96699999999998</v>
      </c>
      <c r="I64" s="1">
        <f t="shared" si="5"/>
        <v>1</v>
      </c>
      <c r="J64" s="10" t="str">
        <f>IF('SuperMarket Sales'!F64&gt;=5, "Large Order", "Small Order")</f>
        <v>Small Order</v>
      </c>
      <c r="K64" s="10" t="str">
        <f t="shared" si="6"/>
        <v>February</v>
      </c>
    </row>
    <row r="65" spans="1:11" x14ac:dyDescent="0.35">
      <c r="A65" s="13">
        <v>1064</v>
      </c>
      <c r="B65" s="5">
        <v>45323</v>
      </c>
      <c r="C65" s="4" t="s">
        <v>50</v>
      </c>
      <c r="D65" s="5">
        <v>45327</v>
      </c>
      <c r="E65" s="10">
        <v>199.99</v>
      </c>
      <c r="F65" s="11">
        <v>1</v>
      </c>
      <c r="G65" s="10">
        <f t="shared" si="3"/>
        <v>19.999000000000002</v>
      </c>
      <c r="H65" s="10">
        <f t="shared" si="4"/>
        <v>219.989</v>
      </c>
      <c r="I65" s="1">
        <f t="shared" si="5"/>
        <v>4</v>
      </c>
      <c r="J65" s="10" t="str">
        <f>IF('SuperMarket Sales'!F65&gt;=5, "Large Order", "Small Order")</f>
        <v>Small Order</v>
      </c>
      <c r="K65" s="10" t="str">
        <f t="shared" si="6"/>
        <v>February</v>
      </c>
    </row>
    <row r="66" spans="1:11" x14ac:dyDescent="0.35">
      <c r="A66" s="13">
        <v>1065</v>
      </c>
      <c r="B66" s="5">
        <v>45323</v>
      </c>
      <c r="C66" s="4" t="s">
        <v>51</v>
      </c>
      <c r="D66" s="5">
        <v>45325</v>
      </c>
      <c r="E66" s="10">
        <v>29.99</v>
      </c>
      <c r="F66" s="11">
        <v>5</v>
      </c>
      <c r="G66" s="10">
        <f t="shared" si="3"/>
        <v>14.994999999999999</v>
      </c>
      <c r="H66" s="10">
        <f t="shared" ref="H66:H97" si="7">E66*F66+G66</f>
        <v>164.94499999999999</v>
      </c>
      <c r="I66" s="1">
        <f t="shared" ref="I66:I71" si="8">D66-B66</f>
        <v>2</v>
      </c>
      <c r="J66" s="10" t="str">
        <f>IF('SuperMarket Sales'!F66&gt;=5, "Large Order", "Small Order")</f>
        <v>Large Order</v>
      </c>
      <c r="K66" s="10" t="str">
        <f t="shared" ref="K66:K71" si="9">TEXT(B66,"mmmm")</f>
        <v>February</v>
      </c>
    </row>
    <row r="67" spans="1:11" x14ac:dyDescent="0.35">
      <c r="A67" s="13">
        <v>1066</v>
      </c>
      <c r="B67" s="5">
        <v>45324</v>
      </c>
      <c r="C67" s="4" t="s">
        <v>52</v>
      </c>
      <c r="D67" s="5">
        <v>45328</v>
      </c>
      <c r="E67" s="10">
        <v>79.989999999999995</v>
      </c>
      <c r="F67" s="11">
        <v>2</v>
      </c>
      <c r="G67" s="10">
        <f t="shared" ref="G67:G71" si="10">E67*F67*10%</f>
        <v>15.997999999999999</v>
      </c>
      <c r="H67" s="10">
        <f t="shared" si="7"/>
        <v>175.97799999999998</v>
      </c>
      <c r="I67" s="1">
        <f t="shared" si="8"/>
        <v>4</v>
      </c>
      <c r="J67" s="10" t="str">
        <f>IF('SuperMarket Sales'!F67&gt;=5, "Large Order", "Small Order")</f>
        <v>Small Order</v>
      </c>
      <c r="K67" s="10" t="str">
        <f t="shared" si="9"/>
        <v>February</v>
      </c>
    </row>
    <row r="68" spans="1:11" x14ac:dyDescent="0.35">
      <c r="A68" s="13">
        <v>1067</v>
      </c>
      <c r="B68" s="5">
        <v>45325</v>
      </c>
      <c r="C68" s="4" t="s">
        <v>53</v>
      </c>
      <c r="D68" s="5">
        <v>45328</v>
      </c>
      <c r="E68" s="10">
        <v>49.99</v>
      </c>
      <c r="F68" s="11">
        <v>3</v>
      </c>
      <c r="G68" s="10">
        <f t="shared" si="10"/>
        <v>14.997</v>
      </c>
      <c r="H68" s="10">
        <f t="shared" si="7"/>
        <v>164.96699999999998</v>
      </c>
      <c r="I68" s="1">
        <f t="shared" si="8"/>
        <v>3</v>
      </c>
      <c r="J68" s="10" t="str">
        <f>IF('SuperMarket Sales'!F68&gt;=5, "Large Order", "Small Order")</f>
        <v>Small Order</v>
      </c>
      <c r="K68" s="10" t="str">
        <f t="shared" si="9"/>
        <v>February</v>
      </c>
    </row>
    <row r="69" spans="1:11" x14ac:dyDescent="0.35">
      <c r="A69" s="13">
        <v>1068</v>
      </c>
      <c r="B69" s="5">
        <v>45326</v>
      </c>
      <c r="C69" s="4" t="s">
        <v>54</v>
      </c>
      <c r="D69" s="5">
        <v>45327</v>
      </c>
      <c r="E69" s="10">
        <v>129.99</v>
      </c>
      <c r="F69" s="11">
        <v>1</v>
      </c>
      <c r="G69" s="10">
        <f t="shared" si="10"/>
        <v>12.999000000000002</v>
      </c>
      <c r="H69" s="10">
        <f t="shared" si="7"/>
        <v>142.989</v>
      </c>
      <c r="I69" s="1">
        <f t="shared" si="8"/>
        <v>1</v>
      </c>
      <c r="J69" s="10" t="str">
        <f>IF('SuperMarket Sales'!F69&gt;=5, "Large Order", "Small Order")</f>
        <v>Small Order</v>
      </c>
      <c r="K69" s="10" t="str">
        <f t="shared" si="9"/>
        <v>February</v>
      </c>
    </row>
    <row r="70" spans="1:11" x14ac:dyDescent="0.35">
      <c r="A70" s="13">
        <v>1069</v>
      </c>
      <c r="B70" s="5">
        <v>45326</v>
      </c>
      <c r="C70" s="4" t="s">
        <v>55</v>
      </c>
      <c r="D70" s="5">
        <v>45330</v>
      </c>
      <c r="E70" s="10">
        <v>19.989999999999998</v>
      </c>
      <c r="F70" s="11">
        <v>4</v>
      </c>
      <c r="G70" s="10">
        <f t="shared" si="10"/>
        <v>7.9959999999999996</v>
      </c>
      <c r="H70" s="10">
        <f t="shared" si="7"/>
        <v>87.955999999999989</v>
      </c>
      <c r="I70" s="1">
        <f t="shared" si="8"/>
        <v>4</v>
      </c>
      <c r="J70" s="10" t="str">
        <f>IF('SuperMarket Sales'!F70&gt;=5, "Large Order", "Small Order")</f>
        <v>Small Order</v>
      </c>
      <c r="K70" s="10" t="str">
        <f t="shared" si="9"/>
        <v>February</v>
      </c>
    </row>
    <row r="71" spans="1:11" x14ac:dyDescent="0.35">
      <c r="A71" s="13">
        <v>1070</v>
      </c>
      <c r="B71" s="5">
        <v>45326</v>
      </c>
      <c r="C71" s="4" t="s">
        <v>56</v>
      </c>
      <c r="D71" s="5">
        <v>45329</v>
      </c>
      <c r="E71" s="10">
        <v>149.99</v>
      </c>
      <c r="F71" s="11">
        <v>1</v>
      </c>
      <c r="G71" s="10">
        <f t="shared" si="10"/>
        <v>14.999000000000002</v>
      </c>
      <c r="H71" s="10">
        <f t="shared" si="7"/>
        <v>164.989</v>
      </c>
      <c r="I71" s="1">
        <f t="shared" si="8"/>
        <v>3</v>
      </c>
      <c r="J71" s="20" t="str">
        <f>IF('SuperMarket Sales'!F71&gt;=5, "Large Order", "Small Order")</f>
        <v>Small Order</v>
      </c>
      <c r="K71" s="20" t="str">
        <f t="shared" si="9"/>
        <v>February</v>
      </c>
    </row>
    <row r="72" spans="1:11" x14ac:dyDescent="0.35">
      <c r="C72" s="6"/>
    </row>
    <row r="73" spans="1:11" x14ac:dyDescent="0.35">
      <c r="C73" s="6"/>
      <c r="H73" s="14"/>
    </row>
  </sheetData>
  <conditionalFormatting sqref="A1:A7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Dashboard</vt:lpstr>
      <vt:lpstr>Sales Analysis</vt:lpstr>
      <vt:lpstr>Monthly Sales</vt:lpstr>
      <vt:lpstr>Customer Sales</vt:lpstr>
      <vt:lpstr>Order Sales</vt:lpstr>
      <vt:lpstr>Quantity Sales</vt:lpstr>
      <vt:lpstr>Shipping Perfomance</vt:lpstr>
      <vt:lpstr>Data Inspection</vt:lpstr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HomePC</cp:lastModifiedBy>
  <dcterms:created xsi:type="dcterms:W3CDTF">2024-02-19T11:17:54Z</dcterms:created>
  <dcterms:modified xsi:type="dcterms:W3CDTF">2026-10-27T08:35:21Z</dcterms:modified>
</cp:coreProperties>
</file>